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AI screen LNP python and excel\R5各个模型生成的R5 预测\转染实验结果\lucf R5 DC2.4 HACAT MUTUDC THP-1\"/>
    </mc:Choice>
  </mc:AlternateContent>
  <xr:revisionPtr revIDLastSave="0" documentId="13_ncr:1_{804185EB-752F-473A-88A9-4F99C40958D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ound1&amp;2&amp;3&amp;4 " sheetId="1" r:id="rId1"/>
    <sheet name="SMILES NA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3" i="1" l="1"/>
  <c r="S214" i="1"/>
  <c r="T214" i="1" s="1"/>
  <c r="U214" i="1" s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T227" i="1" s="1"/>
  <c r="U227" i="1" s="1"/>
  <c r="S212" i="1"/>
  <c r="T212" i="1" s="1"/>
  <c r="U212" i="1" s="1"/>
  <c r="S228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12" i="1"/>
  <c r="U147" i="1"/>
  <c r="U141" i="1"/>
  <c r="T213" i="1"/>
  <c r="U213" i="1" s="1"/>
  <c r="T215" i="1"/>
  <c r="U215" i="1" s="1"/>
  <c r="T216" i="1"/>
  <c r="U216" i="1" s="1"/>
  <c r="T217" i="1"/>
  <c r="U217" i="1" s="1"/>
  <c r="T218" i="1"/>
  <c r="U218" i="1" s="1"/>
  <c r="T219" i="1"/>
  <c r="U219" i="1" s="1"/>
  <c r="T220" i="1"/>
  <c r="U220" i="1" s="1"/>
  <c r="T221" i="1"/>
  <c r="U221" i="1" s="1"/>
  <c r="T222" i="1"/>
  <c r="U222" i="1" s="1"/>
  <c r="T223" i="1"/>
  <c r="U223" i="1" s="1"/>
  <c r="T224" i="1"/>
  <c r="U224" i="1" s="1"/>
  <c r="T225" i="1"/>
  <c r="U225" i="1" s="1"/>
  <c r="T226" i="1"/>
  <c r="U226" i="1" s="1"/>
  <c r="T145" i="1"/>
  <c r="R228" i="1"/>
  <c r="R229" i="1"/>
  <c r="R230" i="1"/>
  <c r="R231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3" i="1"/>
  <c r="Q212" i="1"/>
  <c r="U202" i="1"/>
  <c r="U203" i="1"/>
  <c r="U204" i="1"/>
  <c r="U205" i="1"/>
  <c r="U209" i="1"/>
  <c r="U207" i="1"/>
  <c r="U201" i="1"/>
  <c r="AU199" i="1"/>
  <c r="AT199" i="1"/>
  <c r="AS199" i="1"/>
  <c r="AQ199" i="1"/>
  <c r="AU198" i="1"/>
  <c r="AT198" i="1"/>
  <c r="AS198" i="1"/>
  <c r="AR198" i="1"/>
  <c r="AR199" i="1" s="1"/>
  <c r="AQ198" i="1"/>
  <c r="AP198" i="1"/>
  <c r="AP199" i="1" s="1"/>
  <c r="AO198" i="1"/>
  <c r="AO199" i="1" s="1"/>
  <c r="AN198" i="1"/>
  <c r="AN199" i="1" s="1"/>
  <c r="AM198" i="1"/>
  <c r="AM199" i="1" s="1"/>
  <c r="AL198" i="1"/>
  <c r="AL199" i="1" s="1"/>
  <c r="AK198" i="1"/>
  <c r="AK199" i="1" s="1"/>
  <c r="AJ198" i="1"/>
  <c r="AJ199" i="1" s="1"/>
  <c r="U196" i="1"/>
  <c r="U195" i="1"/>
  <c r="U194" i="1"/>
  <c r="U193" i="1"/>
  <c r="AQ191" i="1"/>
  <c r="AP191" i="1"/>
  <c r="AM191" i="1"/>
  <c r="AL191" i="1"/>
  <c r="AK191" i="1"/>
  <c r="AJ191" i="1"/>
  <c r="AU190" i="1"/>
  <c r="AU191" i="1" s="1"/>
  <c r="AT190" i="1"/>
  <c r="AT191" i="1" s="1"/>
  <c r="AS190" i="1"/>
  <c r="AS191" i="1" s="1"/>
  <c r="AR190" i="1"/>
  <c r="AR191" i="1" s="1"/>
  <c r="AQ190" i="1"/>
  <c r="AP190" i="1"/>
  <c r="AO190" i="1"/>
  <c r="AO191" i="1" s="1"/>
  <c r="AN190" i="1"/>
  <c r="AN191" i="1" s="1"/>
  <c r="AM190" i="1"/>
  <c r="AL190" i="1"/>
  <c r="AK190" i="1"/>
  <c r="AJ190" i="1"/>
  <c r="U190" i="1"/>
  <c r="U188" i="1"/>
  <c r="U186" i="1"/>
  <c r="U183" i="1"/>
  <c r="U182" i="1"/>
  <c r="U180" i="1"/>
  <c r="Q168" i="1"/>
  <c r="S168" i="1" s="1"/>
  <c r="Q167" i="1"/>
  <c r="S167" i="1" s="1"/>
  <c r="K167" i="1"/>
  <c r="Q166" i="1"/>
  <c r="R166" i="1" s="1"/>
  <c r="K166" i="1"/>
  <c r="Q165" i="1"/>
  <c r="S165" i="1" s="1"/>
  <c r="K165" i="1"/>
  <c r="Q164" i="1"/>
  <c r="S164" i="1" s="1"/>
  <c r="K164" i="1"/>
  <c r="Q163" i="1"/>
  <c r="S163" i="1" s="1"/>
  <c r="K163" i="1"/>
  <c r="Q162" i="1"/>
  <c r="S162" i="1" s="1"/>
  <c r="K162" i="1"/>
  <c r="Q161" i="1"/>
  <c r="S161" i="1" s="1"/>
  <c r="K161" i="1"/>
  <c r="Q160" i="1"/>
  <c r="S160" i="1" s="1"/>
  <c r="K160" i="1"/>
  <c r="Q159" i="1"/>
  <c r="S159" i="1" s="1"/>
  <c r="K159" i="1"/>
  <c r="Q158" i="1"/>
  <c r="S158" i="1" s="1"/>
  <c r="K158" i="1"/>
  <c r="Q157" i="1"/>
  <c r="S157" i="1" s="1"/>
  <c r="K157" i="1"/>
  <c r="Q156" i="1"/>
  <c r="S156" i="1" s="1"/>
  <c r="K156" i="1"/>
  <c r="Q155" i="1"/>
  <c r="S155" i="1" s="1"/>
  <c r="K155" i="1"/>
  <c r="Q154" i="1"/>
  <c r="S154" i="1" s="1"/>
  <c r="K154" i="1"/>
  <c r="Q153" i="1"/>
  <c r="S153" i="1" s="1"/>
  <c r="K153" i="1"/>
  <c r="U151" i="1"/>
  <c r="R151" i="1"/>
  <c r="AF150" i="1"/>
  <c r="AH150" i="1" s="1"/>
  <c r="U150" i="1"/>
  <c r="Q150" i="1"/>
  <c r="AF149" i="1"/>
  <c r="AH149" i="1" s="1"/>
  <c r="AI149" i="1" s="1"/>
  <c r="AJ149" i="1" s="1"/>
  <c r="U149" i="1"/>
  <c r="Q149" i="1"/>
  <c r="AF148" i="1"/>
  <c r="AH148" i="1" s="1"/>
  <c r="AI148" i="1" s="1"/>
  <c r="AJ148" i="1" s="1"/>
  <c r="U148" i="1"/>
  <c r="Q148" i="1"/>
  <c r="AH147" i="1"/>
  <c r="AI147" i="1" s="1"/>
  <c r="AJ147" i="1" s="1"/>
  <c r="AF147" i="1"/>
  <c r="S147" i="1"/>
  <c r="T147" i="1" s="1"/>
  <c r="Q147" i="1"/>
  <c r="U208" i="1" s="1"/>
  <c r="AF146" i="1"/>
  <c r="AH146" i="1" s="1"/>
  <c r="AI146" i="1" s="1"/>
  <c r="AJ146" i="1" s="1"/>
  <c r="Q146" i="1"/>
  <c r="S146" i="1" s="1"/>
  <c r="T146" i="1" s="1"/>
  <c r="U146" i="1" s="1"/>
  <c r="AH145" i="1"/>
  <c r="AI145" i="1" s="1"/>
  <c r="AJ145" i="1" s="1"/>
  <c r="AF145" i="1"/>
  <c r="S145" i="1"/>
  <c r="U145" i="1" s="1"/>
  <c r="Q145" i="1"/>
  <c r="U206" i="1" s="1"/>
  <c r="AF144" i="1"/>
  <c r="AH144" i="1" s="1"/>
  <c r="AI144" i="1" s="1"/>
  <c r="AJ144" i="1" s="1"/>
  <c r="S144" i="1"/>
  <c r="T144" i="1" s="1"/>
  <c r="U144" i="1" s="1"/>
  <c r="Q144" i="1"/>
  <c r="AF143" i="1"/>
  <c r="AH143" i="1" s="1"/>
  <c r="AI143" i="1" s="1"/>
  <c r="AJ143" i="1" s="1"/>
  <c r="U143" i="1"/>
  <c r="T143" i="1"/>
  <c r="S143" i="1"/>
  <c r="Q143" i="1"/>
  <c r="AF142" i="1"/>
  <c r="AH142" i="1" s="1"/>
  <c r="AI142" i="1" s="1"/>
  <c r="AJ142" i="1" s="1"/>
  <c r="S142" i="1"/>
  <c r="T142" i="1" s="1"/>
  <c r="U142" i="1" s="1"/>
  <c r="Q142" i="1"/>
  <c r="AI141" i="1"/>
  <c r="AJ141" i="1" s="1"/>
  <c r="AH141" i="1"/>
  <c r="AF141" i="1"/>
  <c r="Q141" i="1"/>
  <c r="S141" i="1" s="1"/>
  <c r="T141" i="1" s="1"/>
  <c r="AF140" i="1"/>
  <c r="AH140" i="1" s="1"/>
  <c r="AI140" i="1" s="1"/>
  <c r="AJ140" i="1" s="1"/>
  <c r="Q140" i="1"/>
  <c r="S140" i="1" s="1"/>
  <c r="T140" i="1" s="1"/>
  <c r="U140" i="1" s="1"/>
  <c r="AH139" i="1"/>
  <c r="AI139" i="1" s="1"/>
  <c r="AJ139" i="1" s="1"/>
  <c r="AF139" i="1"/>
  <c r="Q139" i="1"/>
  <c r="U138" i="1"/>
  <c r="S138" i="1"/>
  <c r="Q138" i="1"/>
  <c r="AF137" i="1"/>
  <c r="AH137" i="1" s="1"/>
  <c r="AI137" i="1" s="1"/>
  <c r="AJ137" i="1" s="1"/>
  <c r="T137" i="1"/>
  <c r="U137" i="1" s="1"/>
  <c r="Q137" i="1"/>
  <c r="S137" i="1" s="1"/>
  <c r="AF136" i="1"/>
  <c r="AH136" i="1" s="1"/>
  <c r="AI136" i="1" s="1"/>
  <c r="AJ136" i="1" s="1"/>
  <c r="Q136" i="1"/>
  <c r="AF135" i="1"/>
  <c r="AH135" i="1" s="1"/>
  <c r="AI135" i="1" s="1"/>
  <c r="AJ135" i="1" s="1"/>
  <c r="S135" i="1"/>
  <c r="T135" i="1" s="1"/>
  <c r="U135" i="1" s="1"/>
  <c r="Q135" i="1"/>
  <c r="AF134" i="1"/>
  <c r="AH134" i="1" s="1"/>
  <c r="AI134" i="1" s="1"/>
  <c r="AJ134" i="1" s="1"/>
  <c r="S134" i="1"/>
  <c r="T134" i="1" s="1"/>
  <c r="U134" i="1" s="1"/>
  <c r="Q134" i="1"/>
  <c r="AG133" i="1"/>
  <c r="AF133" i="1"/>
  <c r="AH133" i="1" s="1"/>
  <c r="AI133" i="1" s="1"/>
  <c r="AJ133" i="1" s="1"/>
  <c r="S133" i="1"/>
  <c r="T133" i="1" s="1"/>
  <c r="U133" i="1" s="1"/>
  <c r="Q133" i="1"/>
  <c r="AF132" i="1"/>
  <c r="AH132" i="1" s="1"/>
  <c r="AI132" i="1" s="1"/>
  <c r="AJ132" i="1" s="1"/>
  <c r="S132" i="1"/>
  <c r="T132" i="1" s="1"/>
  <c r="U132" i="1" s="1"/>
  <c r="Q132" i="1"/>
  <c r="AF131" i="1"/>
  <c r="AH131" i="1" s="1"/>
  <c r="AI131" i="1" s="1"/>
  <c r="AJ131" i="1" s="1"/>
  <c r="S131" i="1"/>
  <c r="T131" i="1" s="1"/>
  <c r="U131" i="1" s="1"/>
  <c r="Q131" i="1"/>
  <c r="U192" i="1" s="1"/>
  <c r="AF130" i="1"/>
  <c r="AH130" i="1" s="1"/>
  <c r="AI130" i="1" s="1"/>
  <c r="AJ130" i="1" s="1"/>
  <c r="Q130" i="1"/>
  <c r="U191" i="1" s="1"/>
  <c r="AI129" i="1"/>
  <c r="AJ129" i="1" s="1"/>
  <c r="AH129" i="1"/>
  <c r="AF129" i="1"/>
  <c r="S129" i="1"/>
  <c r="T129" i="1" s="1"/>
  <c r="U129" i="1" s="1"/>
  <c r="Q129" i="1"/>
  <c r="AF128" i="1"/>
  <c r="AH128" i="1" s="1"/>
  <c r="AI128" i="1" s="1"/>
  <c r="AJ128" i="1" s="1"/>
  <c r="Q128" i="1"/>
  <c r="AF127" i="1"/>
  <c r="AH127" i="1" s="1"/>
  <c r="AI127" i="1" s="1"/>
  <c r="AJ127" i="1" s="1"/>
  <c r="S127" i="1"/>
  <c r="T127" i="1" s="1"/>
  <c r="U127" i="1" s="1"/>
  <c r="Q127" i="1"/>
  <c r="AF126" i="1"/>
  <c r="AH126" i="1" s="1"/>
  <c r="AI126" i="1" s="1"/>
  <c r="AJ126" i="1" s="1"/>
  <c r="Q126" i="1"/>
  <c r="U187" i="1" s="1"/>
  <c r="AF125" i="1"/>
  <c r="AH125" i="1" s="1"/>
  <c r="AI125" i="1" s="1"/>
  <c r="AJ125" i="1" s="1"/>
  <c r="S125" i="1"/>
  <c r="T125" i="1" s="1"/>
  <c r="U125" i="1" s="1"/>
  <c r="Q125" i="1"/>
  <c r="AF124" i="1"/>
  <c r="AH124" i="1" s="1"/>
  <c r="AI124" i="1" s="1"/>
  <c r="AJ124" i="1" s="1"/>
  <c r="Q124" i="1"/>
  <c r="AF123" i="1"/>
  <c r="AH123" i="1" s="1"/>
  <c r="AI123" i="1" s="1"/>
  <c r="AJ123" i="1" s="1"/>
  <c r="S123" i="1"/>
  <c r="T123" i="1" s="1"/>
  <c r="U123" i="1" s="1"/>
  <c r="Q123" i="1"/>
  <c r="U184" i="1" s="1"/>
  <c r="AF122" i="1"/>
  <c r="AH122" i="1" s="1"/>
  <c r="AI122" i="1" s="1"/>
  <c r="AJ122" i="1" s="1"/>
  <c r="S122" i="1"/>
  <c r="T122" i="1" s="1"/>
  <c r="U122" i="1" s="1"/>
  <c r="Q122" i="1"/>
  <c r="AH121" i="1"/>
  <c r="AI121" i="1" s="1"/>
  <c r="AJ121" i="1" s="1"/>
  <c r="AF121" i="1"/>
  <c r="S121" i="1"/>
  <c r="T121" i="1" s="1"/>
  <c r="U121" i="1" s="1"/>
  <c r="Q121" i="1"/>
  <c r="AF120" i="1"/>
  <c r="AH120" i="1" s="1"/>
  <c r="AI120" i="1" s="1"/>
  <c r="AJ120" i="1" s="1"/>
  <c r="Q120" i="1"/>
  <c r="U181" i="1" s="1"/>
  <c r="AF119" i="1"/>
  <c r="AH119" i="1" s="1"/>
  <c r="AI119" i="1" s="1"/>
  <c r="AJ119" i="1" s="1"/>
  <c r="S119" i="1"/>
  <c r="T119" i="1" s="1"/>
  <c r="U119" i="1" s="1"/>
  <c r="Q119" i="1"/>
  <c r="AF118" i="1"/>
  <c r="AH118" i="1" s="1"/>
  <c r="AI118" i="1" s="1"/>
  <c r="AJ118" i="1" s="1"/>
  <c r="Q118" i="1"/>
  <c r="U117" i="1"/>
  <c r="AG116" i="1"/>
  <c r="U116" i="1"/>
  <c r="AH115" i="1"/>
  <c r="AI115" i="1" s="1"/>
  <c r="AJ115" i="1" s="1"/>
  <c r="AG115" i="1"/>
  <c r="AF115" i="1"/>
  <c r="AA115" i="1"/>
  <c r="AB115" i="1" s="1"/>
  <c r="AC115" i="1" s="1"/>
  <c r="Q115" i="1"/>
  <c r="AF114" i="1"/>
  <c r="AH114" i="1" s="1"/>
  <c r="AI114" i="1" s="1"/>
  <c r="AJ114" i="1" s="1"/>
  <c r="AA114" i="1"/>
  <c r="AB114" i="1" s="1"/>
  <c r="AC114" i="1" s="1"/>
  <c r="R114" i="1"/>
  <c r="Q114" i="1"/>
  <c r="S114" i="1" s="1"/>
  <c r="T114" i="1" s="1"/>
  <c r="U114" i="1" s="1"/>
  <c r="AH113" i="1"/>
  <c r="AI113" i="1" s="1"/>
  <c r="AJ113" i="1" s="1"/>
  <c r="AF113" i="1"/>
  <c r="AA113" i="1"/>
  <c r="AB113" i="1" s="1"/>
  <c r="AC113" i="1" s="1"/>
  <c r="S113" i="1"/>
  <c r="T113" i="1" s="1"/>
  <c r="U113" i="1" s="1"/>
  <c r="Q113" i="1"/>
  <c r="R41" i="1" s="1"/>
  <c r="AF112" i="1"/>
  <c r="AH112" i="1" s="1"/>
  <c r="AI112" i="1" s="1"/>
  <c r="AJ112" i="1" s="1"/>
  <c r="AA112" i="1"/>
  <c r="AB112" i="1" s="1"/>
  <c r="AC112" i="1" s="1"/>
  <c r="Q112" i="1"/>
  <c r="S112" i="1" s="1"/>
  <c r="T112" i="1" s="1"/>
  <c r="U112" i="1" s="1"/>
  <c r="AF111" i="1"/>
  <c r="AH111" i="1" s="1"/>
  <c r="AI111" i="1" s="1"/>
  <c r="AJ111" i="1" s="1"/>
  <c r="AC111" i="1"/>
  <c r="AB111" i="1"/>
  <c r="AA111" i="1"/>
  <c r="Q111" i="1"/>
  <c r="S111" i="1" s="1"/>
  <c r="T111" i="1" s="1"/>
  <c r="U111" i="1" s="1"/>
  <c r="AF110" i="1"/>
  <c r="AH110" i="1" s="1"/>
  <c r="AI110" i="1" s="1"/>
  <c r="AJ110" i="1" s="1"/>
  <c r="AA110" i="1"/>
  <c r="AB110" i="1" s="1"/>
  <c r="AC110" i="1" s="1"/>
  <c r="Q110" i="1"/>
  <c r="S110" i="1" s="1"/>
  <c r="T110" i="1" s="1"/>
  <c r="U110" i="1" s="1"/>
  <c r="AF109" i="1"/>
  <c r="AH109" i="1" s="1"/>
  <c r="AI109" i="1" s="1"/>
  <c r="AJ109" i="1" s="1"/>
  <c r="AA109" i="1"/>
  <c r="AB109" i="1" s="1"/>
  <c r="AC109" i="1" s="1"/>
  <c r="Q109" i="1"/>
  <c r="S109" i="1" s="1"/>
  <c r="T109" i="1" s="1"/>
  <c r="U109" i="1" s="1"/>
  <c r="AH108" i="1"/>
  <c r="AI108" i="1" s="1"/>
  <c r="AJ108" i="1" s="1"/>
  <c r="AF108" i="1"/>
  <c r="AC108" i="1"/>
  <c r="AB108" i="1"/>
  <c r="AA108" i="1"/>
  <c r="S108" i="1"/>
  <c r="T108" i="1" s="1"/>
  <c r="U108" i="1" s="1"/>
  <c r="Q108" i="1"/>
  <c r="AF107" i="1"/>
  <c r="AH107" i="1" s="1"/>
  <c r="AI107" i="1" s="1"/>
  <c r="AJ107" i="1" s="1"/>
  <c r="AA107" i="1"/>
  <c r="AB107" i="1" s="1"/>
  <c r="AC107" i="1" s="1"/>
  <c r="S107" i="1"/>
  <c r="T107" i="1" s="1"/>
  <c r="U107" i="1" s="1"/>
  <c r="Q107" i="1"/>
  <c r="AF106" i="1"/>
  <c r="AH106" i="1" s="1"/>
  <c r="AI106" i="1" s="1"/>
  <c r="AJ106" i="1" s="1"/>
  <c r="AC106" i="1"/>
  <c r="AA106" i="1"/>
  <c r="AB106" i="1" s="1"/>
  <c r="Q106" i="1"/>
  <c r="S106" i="1" s="1"/>
  <c r="T106" i="1" s="1"/>
  <c r="U106" i="1" s="1"/>
  <c r="AF105" i="1"/>
  <c r="AH105" i="1" s="1"/>
  <c r="AI105" i="1" s="1"/>
  <c r="AJ105" i="1" s="1"/>
  <c r="AA105" i="1"/>
  <c r="AB105" i="1" s="1"/>
  <c r="AC105" i="1" s="1"/>
  <c r="Q105" i="1"/>
  <c r="S105" i="1" s="1"/>
  <c r="T105" i="1" s="1"/>
  <c r="U105" i="1" s="1"/>
  <c r="AF104" i="1"/>
  <c r="AH104" i="1" s="1"/>
  <c r="AI104" i="1" s="1"/>
  <c r="AJ104" i="1" s="1"/>
  <c r="AB104" i="1"/>
  <c r="AC104" i="1" s="1"/>
  <c r="AA104" i="1"/>
  <c r="T104" i="1"/>
  <c r="U104" i="1" s="1"/>
  <c r="S104" i="1"/>
  <c r="Q104" i="1"/>
  <c r="AI103" i="1"/>
  <c r="AJ103" i="1" s="1"/>
  <c r="AH103" i="1"/>
  <c r="AF103" i="1"/>
  <c r="AA103" i="1"/>
  <c r="AB103" i="1" s="1"/>
  <c r="AC103" i="1" s="1"/>
  <c r="U103" i="1"/>
  <c r="Q103" i="1"/>
  <c r="S103" i="1" s="1"/>
  <c r="T103" i="1" s="1"/>
  <c r="AI102" i="1"/>
  <c r="AJ102" i="1" s="1"/>
  <c r="AH102" i="1"/>
  <c r="AF102" i="1"/>
  <c r="AA102" i="1"/>
  <c r="AB102" i="1" s="1"/>
  <c r="AC102" i="1" s="1"/>
  <c r="S102" i="1"/>
  <c r="T102" i="1" s="1"/>
  <c r="U102" i="1" s="1"/>
  <c r="Q102" i="1"/>
  <c r="AF101" i="1"/>
  <c r="AH101" i="1" s="1"/>
  <c r="AI101" i="1" s="1"/>
  <c r="AJ101" i="1" s="1"/>
  <c r="AA101" i="1"/>
  <c r="AB101" i="1" s="1"/>
  <c r="AC101" i="1" s="1"/>
  <c r="Q101" i="1"/>
  <c r="S101" i="1" s="1"/>
  <c r="T101" i="1" s="1"/>
  <c r="U101" i="1" s="1"/>
  <c r="AF100" i="1"/>
  <c r="AH100" i="1" s="1"/>
  <c r="AI100" i="1" s="1"/>
  <c r="AJ100" i="1" s="1"/>
  <c r="AC100" i="1"/>
  <c r="AB100" i="1"/>
  <c r="AA100" i="1"/>
  <c r="Q100" i="1"/>
  <c r="S100" i="1" s="1"/>
  <c r="T100" i="1" s="1"/>
  <c r="U100" i="1" s="1"/>
  <c r="AI99" i="1"/>
  <c r="AJ99" i="1" s="1"/>
  <c r="AH99" i="1"/>
  <c r="AF99" i="1"/>
  <c r="AB99" i="1"/>
  <c r="AC99" i="1" s="1"/>
  <c r="AA99" i="1"/>
  <c r="Q99" i="1"/>
  <c r="S99" i="1" s="1"/>
  <c r="T99" i="1" s="1"/>
  <c r="U99" i="1" s="1"/>
  <c r="AF98" i="1"/>
  <c r="AH98" i="1" s="1"/>
  <c r="AI98" i="1" s="1"/>
  <c r="AJ98" i="1" s="1"/>
  <c r="AA98" i="1"/>
  <c r="AB98" i="1" s="1"/>
  <c r="AC98" i="1" s="1"/>
  <c r="Q98" i="1"/>
  <c r="S98" i="1" s="1"/>
  <c r="T98" i="1" s="1"/>
  <c r="U98" i="1" s="1"/>
  <c r="AH97" i="1"/>
  <c r="AG143" i="1" s="1"/>
  <c r="AF97" i="1"/>
  <c r="AA97" i="1"/>
  <c r="AB97" i="1" s="1"/>
  <c r="AC97" i="1" s="1"/>
  <c r="T97" i="1"/>
  <c r="U97" i="1" s="1"/>
  <c r="Q97" i="1"/>
  <c r="S97" i="1" s="1"/>
  <c r="R143" i="1" s="1"/>
  <c r="AF96" i="1"/>
  <c r="AH96" i="1" s="1"/>
  <c r="AI96" i="1" s="1"/>
  <c r="AJ96" i="1" s="1"/>
  <c r="AA96" i="1"/>
  <c r="AB96" i="1" s="1"/>
  <c r="AC96" i="1" s="1"/>
  <c r="S96" i="1"/>
  <c r="T96" i="1" s="1"/>
  <c r="U96" i="1" s="1"/>
  <c r="Q96" i="1"/>
  <c r="AF95" i="1"/>
  <c r="AH95" i="1" s="1"/>
  <c r="AC95" i="1"/>
  <c r="AB95" i="1"/>
  <c r="AA95" i="1"/>
  <c r="S95" i="1"/>
  <c r="Q95" i="1"/>
  <c r="AF94" i="1"/>
  <c r="AH94" i="1" s="1"/>
  <c r="AI94" i="1" s="1"/>
  <c r="AJ94" i="1" s="1"/>
  <c r="AC94" i="1"/>
  <c r="AB94" i="1"/>
  <c r="AA94" i="1"/>
  <c r="Q94" i="1"/>
  <c r="S94" i="1" s="1"/>
  <c r="T94" i="1" s="1"/>
  <c r="U94" i="1" s="1"/>
  <c r="AF93" i="1"/>
  <c r="AH93" i="1" s="1"/>
  <c r="AI93" i="1" s="1"/>
  <c r="AJ93" i="1" s="1"/>
  <c r="AA93" i="1"/>
  <c r="AB93" i="1" s="1"/>
  <c r="AC93" i="1" s="1"/>
  <c r="Q93" i="1"/>
  <c r="S93" i="1" s="1"/>
  <c r="T93" i="1" s="1"/>
  <c r="U93" i="1" s="1"/>
  <c r="AH92" i="1"/>
  <c r="AI92" i="1" s="1"/>
  <c r="AJ92" i="1" s="1"/>
  <c r="AF92" i="1"/>
  <c r="AC92" i="1"/>
  <c r="AB92" i="1"/>
  <c r="AA92" i="1"/>
  <c r="S92" i="1"/>
  <c r="T92" i="1" s="1"/>
  <c r="U92" i="1" s="1"/>
  <c r="Q92" i="1"/>
  <c r="AF91" i="1"/>
  <c r="AH91" i="1" s="1"/>
  <c r="AI91" i="1" s="1"/>
  <c r="AJ91" i="1" s="1"/>
  <c r="AA91" i="1"/>
  <c r="AB91" i="1" s="1"/>
  <c r="AC91" i="1" s="1"/>
  <c r="T91" i="1"/>
  <c r="U91" i="1" s="1"/>
  <c r="S91" i="1"/>
  <c r="Q91" i="1"/>
  <c r="AF90" i="1"/>
  <c r="AH90" i="1" s="1"/>
  <c r="AI90" i="1" s="1"/>
  <c r="AJ90" i="1" s="1"/>
  <c r="AC90" i="1"/>
  <c r="AB90" i="1"/>
  <c r="AA90" i="1"/>
  <c r="T90" i="1"/>
  <c r="U90" i="1" s="1"/>
  <c r="S90" i="1"/>
  <c r="Q90" i="1"/>
  <c r="AF89" i="1"/>
  <c r="AH89" i="1" s="1"/>
  <c r="AI89" i="1" s="1"/>
  <c r="AJ89" i="1" s="1"/>
  <c r="AA89" i="1"/>
  <c r="AB89" i="1" s="1"/>
  <c r="AC89" i="1" s="1"/>
  <c r="Q89" i="1"/>
  <c r="S89" i="1" s="1"/>
  <c r="T89" i="1" s="1"/>
  <c r="U89" i="1" s="1"/>
  <c r="AF88" i="1"/>
  <c r="AH88" i="1" s="1"/>
  <c r="AI88" i="1" s="1"/>
  <c r="AJ88" i="1" s="1"/>
  <c r="AB88" i="1"/>
  <c r="AC88" i="1" s="1"/>
  <c r="AA88" i="1"/>
  <c r="T88" i="1"/>
  <c r="U88" i="1" s="1"/>
  <c r="S88" i="1"/>
  <c r="Q88" i="1"/>
  <c r="AI87" i="1"/>
  <c r="AJ87" i="1" s="1"/>
  <c r="AF87" i="1"/>
  <c r="AH87" i="1" s="1"/>
  <c r="AG146" i="1" s="1"/>
  <c r="AA87" i="1"/>
  <c r="AB87" i="1" s="1"/>
  <c r="AC87" i="1" s="1"/>
  <c r="Q87" i="1"/>
  <c r="S87" i="1" s="1"/>
  <c r="U86" i="1"/>
  <c r="Q86" i="1"/>
  <c r="AJ85" i="1"/>
  <c r="AI85" i="1"/>
  <c r="AF85" i="1"/>
  <c r="U85" i="1"/>
  <c r="Q85" i="1"/>
  <c r="R27" i="1" s="1"/>
  <c r="AI84" i="1"/>
  <c r="AJ84" i="1" s="1"/>
  <c r="AF84" i="1"/>
  <c r="U84" i="1"/>
  <c r="Q84" i="1"/>
  <c r="R26" i="1" s="1"/>
  <c r="AJ83" i="1"/>
  <c r="AI83" i="1"/>
  <c r="AF83" i="1"/>
  <c r="U83" i="1"/>
  <c r="Q83" i="1"/>
  <c r="AI82" i="1"/>
  <c r="AJ82" i="1" s="1"/>
  <c r="AF82" i="1"/>
  <c r="AG53" i="1" s="1"/>
  <c r="U82" i="1"/>
  <c r="Q82" i="1"/>
  <c r="AJ81" i="1"/>
  <c r="AI81" i="1"/>
  <c r="AF81" i="1"/>
  <c r="U81" i="1"/>
  <c r="Q81" i="1"/>
  <c r="R52" i="1" s="1"/>
  <c r="U80" i="1"/>
  <c r="Q80" i="1"/>
  <c r="AI79" i="1"/>
  <c r="AJ79" i="1" s="1"/>
  <c r="AF79" i="1"/>
  <c r="AA79" i="1"/>
  <c r="AB79" i="1" s="1"/>
  <c r="AC79" i="1" s="1"/>
  <c r="Q79" i="1"/>
  <c r="S79" i="1" s="1"/>
  <c r="T79" i="1" s="1"/>
  <c r="U79" i="1" s="1"/>
  <c r="AJ78" i="1"/>
  <c r="AI78" i="1"/>
  <c r="AF78" i="1"/>
  <c r="AA78" i="1"/>
  <c r="AB78" i="1" s="1"/>
  <c r="AC78" i="1" s="1"/>
  <c r="S78" i="1"/>
  <c r="T78" i="1" s="1"/>
  <c r="U78" i="1" s="1"/>
  <c r="Q78" i="1"/>
  <c r="AI77" i="1"/>
  <c r="AJ77" i="1" s="1"/>
  <c r="AF77" i="1"/>
  <c r="AA77" i="1"/>
  <c r="AB77" i="1" s="1"/>
  <c r="AC77" i="1" s="1"/>
  <c r="U77" i="1"/>
  <c r="Q77" i="1"/>
  <c r="S77" i="1" s="1"/>
  <c r="T77" i="1" s="1"/>
  <c r="AJ76" i="1"/>
  <c r="AI76" i="1"/>
  <c r="AF76" i="1"/>
  <c r="AA76" i="1"/>
  <c r="AB76" i="1" s="1"/>
  <c r="AC76" i="1" s="1"/>
  <c r="U76" i="1"/>
  <c r="T76" i="1"/>
  <c r="S76" i="1"/>
  <c r="Q76" i="1"/>
  <c r="AI75" i="1"/>
  <c r="AJ75" i="1" s="1"/>
  <c r="AF75" i="1"/>
  <c r="AB75" i="1"/>
  <c r="AC75" i="1" s="1"/>
  <c r="AA75" i="1"/>
  <c r="Q75" i="1"/>
  <c r="S75" i="1" s="1"/>
  <c r="T75" i="1" s="1"/>
  <c r="U75" i="1" s="1"/>
  <c r="AI74" i="1"/>
  <c r="AJ74" i="1" s="1"/>
  <c r="AF74" i="1"/>
  <c r="AC74" i="1"/>
  <c r="AB74" i="1"/>
  <c r="AA74" i="1"/>
  <c r="Q74" i="1"/>
  <c r="S74" i="1" s="1"/>
  <c r="T74" i="1" s="1"/>
  <c r="U74" i="1" s="1"/>
  <c r="AI73" i="1"/>
  <c r="AJ73" i="1" s="1"/>
  <c r="AF73" i="1"/>
  <c r="AC73" i="1"/>
  <c r="AB73" i="1"/>
  <c r="AA73" i="1"/>
  <c r="Q73" i="1"/>
  <c r="S73" i="1" s="1"/>
  <c r="T73" i="1" s="1"/>
  <c r="U73" i="1" s="1"/>
  <c r="AJ72" i="1"/>
  <c r="AI72" i="1"/>
  <c r="AF72" i="1"/>
  <c r="AA72" i="1"/>
  <c r="AB72" i="1" s="1"/>
  <c r="AC72" i="1" s="1"/>
  <c r="Q72" i="1"/>
  <c r="S72" i="1" s="1"/>
  <c r="T72" i="1" s="1"/>
  <c r="U72" i="1" s="1"/>
  <c r="AJ71" i="1"/>
  <c r="AI71" i="1"/>
  <c r="AF71" i="1"/>
  <c r="AA71" i="1"/>
  <c r="AB71" i="1" s="1"/>
  <c r="AC71" i="1" s="1"/>
  <c r="Q71" i="1"/>
  <c r="S71" i="1" s="1"/>
  <c r="T71" i="1" s="1"/>
  <c r="U71" i="1" s="1"/>
  <c r="AI70" i="1"/>
  <c r="AJ70" i="1" s="1"/>
  <c r="AF70" i="1"/>
  <c r="AA70" i="1"/>
  <c r="AB70" i="1" s="1"/>
  <c r="AC70" i="1" s="1"/>
  <c r="Q70" i="1"/>
  <c r="S70" i="1" s="1"/>
  <c r="T70" i="1" s="1"/>
  <c r="U70" i="1" s="1"/>
  <c r="AI69" i="1"/>
  <c r="AJ69" i="1" s="1"/>
  <c r="AF69" i="1"/>
  <c r="AA69" i="1"/>
  <c r="AB69" i="1" s="1"/>
  <c r="AC69" i="1" s="1"/>
  <c r="Q69" i="1"/>
  <c r="S69" i="1" s="1"/>
  <c r="T69" i="1" s="1"/>
  <c r="U69" i="1" s="1"/>
  <c r="AI68" i="1"/>
  <c r="AJ68" i="1" s="1"/>
  <c r="AF68" i="1"/>
  <c r="AA68" i="1"/>
  <c r="AB68" i="1" s="1"/>
  <c r="AC68" i="1" s="1"/>
  <c r="T68" i="1"/>
  <c r="U68" i="1" s="1"/>
  <c r="S68" i="1"/>
  <c r="Q68" i="1"/>
  <c r="AI67" i="1"/>
  <c r="AJ67" i="1" s="1"/>
  <c r="AF67" i="1"/>
  <c r="AC67" i="1"/>
  <c r="AB67" i="1"/>
  <c r="AA67" i="1"/>
  <c r="Q67" i="1"/>
  <c r="S67" i="1" s="1"/>
  <c r="T67" i="1" s="1"/>
  <c r="U67" i="1" s="1"/>
  <c r="AI66" i="1"/>
  <c r="AJ66" i="1" s="1"/>
  <c r="AF66" i="1"/>
  <c r="AC66" i="1"/>
  <c r="AB66" i="1"/>
  <c r="AA66" i="1"/>
  <c r="Q66" i="1"/>
  <c r="S66" i="1" s="1"/>
  <c r="T66" i="1" s="1"/>
  <c r="U66" i="1" s="1"/>
  <c r="AI65" i="1"/>
  <c r="AJ65" i="1" s="1"/>
  <c r="AF65" i="1"/>
  <c r="AA65" i="1"/>
  <c r="AB65" i="1" s="1"/>
  <c r="AC65" i="1" s="1"/>
  <c r="S65" i="1"/>
  <c r="T65" i="1" s="1"/>
  <c r="U65" i="1" s="1"/>
  <c r="Q65" i="1"/>
  <c r="AJ64" i="1"/>
  <c r="AI64" i="1"/>
  <c r="AF64" i="1"/>
  <c r="AA64" i="1"/>
  <c r="AB64" i="1" s="1"/>
  <c r="AC64" i="1" s="1"/>
  <c r="Q64" i="1"/>
  <c r="S64" i="1" s="1"/>
  <c r="T64" i="1" s="1"/>
  <c r="U64" i="1" s="1"/>
  <c r="AI63" i="1"/>
  <c r="AJ63" i="1" s="1"/>
  <c r="AF63" i="1"/>
  <c r="AA63" i="1"/>
  <c r="AB63" i="1" s="1"/>
  <c r="AC63" i="1" s="1"/>
  <c r="Q63" i="1"/>
  <c r="S63" i="1" s="1"/>
  <c r="T63" i="1" s="1"/>
  <c r="U63" i="1" s="1"/>
  <c r="AJ62" i="1"/>
  <c r="AI62" i="1"/>
  <c r="AF62" i="1"/>
  <c r="AB62" i="1"/>
  <c r="AC62" i="1" s="1"/>
  <c r="AA62" i="1"/>
  <c r="Q62" i="1"/>
  <c r="S62" i="1" s="1"/>
  <c r="T62" i="1" s="1"/>
  <c r="U62" i="1" s="1"/>
  <c r="AI61" i="1"/>
  <c r="AJ61" i="1" s="1"/>
  <c r="AF61" i="1"/>
  <c r="AA61" i="1"/>
  <c r="AB61" i="1" s="1"/>
  <c r="AC61" i="1" s="1"/>
  <c r="S61" i="1"/>
  <c r="T61" i="1" s="1"/>
  <c r="U61" i="1" s="1"/>
  <c r="Q61" i="1"/>
  <c r="AI60" i="1"/>
  <c r="AJ60" i="1" s="1"/>
  <c r="AF60" i="1"/>
  <c r="AB60" i="1"/>
  <c r="AC60" i="1" s="1"/>
  <c r="AA60" i="1"/>
  <c r="T60" i="1"/>
  <c r="U60" i="1" s="1"/>
  <c r="S60" i="1"/>
  <c r="Q60" i="1"/>
  <c r="T59" i="1"/>
  <c r="U59" i="1" s="1"/>
  <c r="Q59" i="1"/>
  <c r="AH58" i="1"/>
  <c r="AI58" i="1" s="1"/>
  <c r="AJ58" i="1" s="1"/>
  <c r="AF58" i="1"/>
  <c r="AA58" i="1"/>
  <c r="AB58" i="1" s="1"/>
  <c r="AC58" i="1" s="1"/>
  <c r="Q58" i="1"/>
  <c r="S58" i="1" s="1"/>
  <c r="T58" i="1" s="1"/>
  <c r="U58" i="1" s="1"/>
  <c r="AF57" i="1"/>
  <c r="AH57" i="1" s="1"/>
  <c r="AI57" i="1" s="1"/>
  <c r="AJ57" i="1" s="1"/>
  <c r="AA57" i="1"/>
  <c r="AB57" i="1" s="1"/>
  <c r="AC57" i="1" s="1"/>
  <c r="S57" i="1"/>
  <c r="T57" i="1" s="1"/>
  <c r="U57" i="1" s="1"/>
  <c r="Q57" i="1"/>
  <c r="AF56" i="1"/>
  <c r="AH56" i="1" s="1"/>
  <c r="AI56" i="1" s="1"/>
  <c r="AJ56" i="1" s="1"/>
  <c r="AC56" i="1"/>
  <c r="AB56" i="1"/>
  <c r="AA56" i="1"/>
  <c r="Q56" i="1"/>
  <c r="S56" i="1" s="1"/>
  <c r="T56" i="1" s="1"/>
  <c r="U56" i="1" s="1"/>
  <c r="AF55" i="1"/>
  <c r="AH55" i="1" s="1"/>
  <c r="AI55" i="1" s="1"/>
  <c r="AJ55" i="1" s="1"/>
  <c r="AC55" i="1"/>
  <c r="AB55" i="1"/>
  <c r="AA55" i="1"/>
  <c r="T55" i="1"/>
  <c r="U55" i="1" s="1"/>
  <c r="S55" i="1"/>
  <c r="Q55" i="1"/>
  <c r="AF54" i="1"/>
  <c r="AH54" i="1" s="1"/>
  <c r="AI54" i="1" s="1"/>
  <c r="AJ54" i="1" s="1"/>
  <c r="AA54" i="1"/>
  <c r="AB54" i="1" s="1"/>
  <c r="AC54" i="1" s="1"/>
  <c r="R54" i="1"/>
  <c r="Q54" i="1"/>
  <c r="S54" i="1" s="1"/>
  <c r="T54" i="1" s="1"/>
  <c r="U54" i="1" s="1"/>
  <c r="AI53" i="1"/>
  <c r="AJ53" i="1" s="1"/>
  <c r="AH53" i="1"/>
  <c r="AF53" i="1"/>
  <c r="AC53" i="1"/>
  <c r="AB53" i="1"/>
  <c r="AA53" i="1"/>
  <c r="S53" i="1"/>
  <c r="T53" i="1" s="1"/>
  <c r="U53" i="1" s="1"/>
  <c r="Q53" i="1"/>
  <c r="R53" i="1" s="1"/>
  <c r="AH52" i="1"/>
  <c r="AI52" i="1" s="1"/>
  <c r="AJ52" i="1" s="1"/>
  <c r="AG52" i="1"/>
  <c r="AG54" i="1" s="1"/>
  <c r="AF52" i="1"/>
  <c r="AA52" i="1"/>
  <c r="AB52" i="1" s="1"/>
  <c r="AC52" i="1" s="1"/>
  <c r="U52" i="1"/>
  <c r="T52" i="1"/>
  <c r="S52" i="1"/>
  <c r="Q52" i="1"/>
  <c r="AH51" i="1"/>
  <c r="AI51" i="1" s="1"/>
  <c r="AJ51" i="1" s="1"/>
  <c r="AF51" i="1"/>
  <c r="AA51" i="1"/>
  <c r="AB51" i="1" s="1"/>
  <c r="AC51" i="1" s="1"/>
  <c r="Q51" i="1"/>
  <c r="S51" i="1" s="1"/>
  <c r="T51" i="1" s="1"/>
  <c r="U51" i="1" s="1"/>
  <c r="AF50" i="1"/>
  <c r="AH50" i="1" s="1"/>
  <c r="AI50" i="1" s="1"/>
  <c r="AJ50" i="1" s="1"/>
  <c r="AB50" i="1"/>
  <c r="AC50" i="1" s="1"/>
  <c r="AA50" i="1"/>
  <c r="S50" i="1"/>
  <c r="T50" i="1" s="1"/>
  <c r="U50" i="1" s="1"/>
  <c r="Q50" i="1"/>
  <c r="AJ49" i="1"/>
  <c r="AI49" i="1"/>
  <c r="AH49" i="1"/>
  <c r="AF49" i="1"/>
  <c r="AB49" i="1"/>
  <c r="AC49" i="1" s="1"/>
  <c r="AA49" i="1"/>
  <c r="Q49" i="1"/>
  <c r="S49" i="1" s="1"/>
  <c r="T49" i="1" s="1"/>
  <c r="U49" i="1" s="1"/>
  <c r="AH48" i="1"/>
  <c r="AI48" i="1" s="1"/>
  <c r="AJ48" i="1" s="1"/>
  <c r="AF48" i="1"/>
  <c r="AA48" i="1"/>
  <c r="AB48" i="1" s="1"/>
  <c r="AC48" i="1" s="1"/>
  <c r="Q48" i="1"/>
  <c r="S48" i="1" s="1"/>
  <c r="T48" i="1" s="1"/>
  <c r="U48" i="1" s="1"/>
  <c r="AJ47" i="1"/>
  <c r="AH47" i="1"/>
  <c r="AI47" i="1" s="1"/>
  <c r="AF47" i="1"/>
  <c r="AA47" i="1"/>
  <c r="AB47" i="1" s="1"/>
  <c r="AC47" i="1" s="1"/>
  <c r="Q47" i="1"/>
  <c r="S47" i="1" s="1"/>
  <c r="T47" i="1" s="1"/>
  <c r="U47" i="1" s="1"/>
  <c r="AF46" i="1"/>
  <c r="AH46" i="1" s="1"/>
  <c r="AI46" i="1" s="1"/>
  <c r="AJ46" i="1" s="1"/>
  <c r="AA46" i="1"/>
  <c r="AB46" i="1" s="1"/>
  <c r="AC46" i="1" s="1"/>
  <c r="S46" i="1"/>
  <c r="T46" i="1" s="1"/>
  <c r="U46" i="1" s="1"/>
  <c r="Q46" i="1"/>
  <c r="AH45" i="1"/>
  <c r="AI45" i="1" s="1"/>
  <c r="AJ45" i="1" s="1"/>
  <c r="AF45" i="1"/>
  <c r="AC45" i="1"/>
  <c r="AB45" i="1"/>
  <c r="AA45" i="1"/>
  <c r="Q45" i="1"/>
  <c r="S45" i="1" s="1"/>
  <c r="T45" i="1" s="1"/>
  <c r="U45" i="1" s="1"/>
  <c r="AF44" i="1"/>
  <c r="AH44" i="1" s="1"/>
  <c r="AI44" i="1" s="1"/>
  <c r="AJ44" i="1" s="1"/>
  <c r="AB44" i="1"/>
  <c r="AC44" i="1" s="1"/>
  <c r="AA44" i="1"/>
  <c r="Q44" i="1"/>
  <c r="S44" i="1" s="1"/>
  <c r="T44" i="1" s="1"/>
  <c r="U44" i="1" s="1"/>
  <c r="AF43" i="1"/>
  <c r="AH43" i="1" s="1"/>
  <c r="AI43" i="1" s="1"/>
  <c r="AJ43" i="1" s="1"/>
  <c r="AB43" i="1"/>
  <c r="AC43" i="1" s="1"/>
  <c r="AA43" i="1"/>
  <c r="R43" i="1"/>
  <c r="Q43" i="1"/>
  <c r="S43" i="1" s="1"/>
  <c r="T43" i="1" s="1"/>
  <c r="U43" i="1" s="1"/>
  <c r="AJ42" i="1"/>
  <c r="AH42" i="1"/>
  <c r="AI42" i="1" s="1"/>
  <c r="AF42" i="1"/>
  <c r="AA42" i="1"/>
  <c r="AB42" i="1" s="1"/>
  <c r="AC42" i="1" s="1"/>
  <c r="Q42" i="1"/>
  <c r="S42" i="1" s="1"/>
  <c r="T42" i="1" s="1"/>
  <c r="U42" i="1" s="1"/>
  <c r="AF41" i="1"/>
  <c r="AG41" i="1" s="1"/>
  <c r="AG43" i="1" s="1"/>
  <c r="AC41" i="1"/>
  <c r="AA41" i="1"/>
  <c r="AB41" i="1" s="1"/>
  <c r="Q41" i="1"/>
  <c r="S41" i="1" s="1"/>
  <c r="T41" i="1" s="1"/>
  <c r="U41" i="1" s="1"/>
  <c r="AH40" i="1"/>
  <c r="AI40" i="1" s="1"/>
  <c r="AJ40" i="1" s="1"/>
  <c r="AF40" i="1"/>
  <c r="AA40" i="1"/>
  <c r="AB40" i="1" s="1"/>
  <c r="AC40" i="1" s="1"/>
  <c r="Q40" i="1"/>
  <c r="S40" i="1" s="1"/>
  <c r="T40" i="1" s="1"/>
  <c r="U40" i="1" s="1"/>
  <c r="AF39" i="1"/>
  <c r="AH39" i="1" s="1"/>
  <c r="AI39" i="1" s="1"/>
  <c r="AJ39" i="1" s="1"/>
  <c r="AB39" i="1"/>
  <c r="AC39" i="1" s="1"/>
  <c r="AA39" i="1"/>
  <c r="Q39" i="1"/>
  <c r="S39" i="1" s="1"/>
  <c r="T39" i="1" s="1"/>
  <c r="U39" i="1" s="1"/>
  <c r="U38" i="1"/>
  <c r="Q38" i="1"/>
  <c r="AI37" i="1"/>
  <c r="AJ37" i="1" s="1"/>
  <c r="AH37" i="1"/>
  <c r="AF37" i="1"/>
  <c r="AA37" i="1"/>
  <c r="AB37" i="1" s="1"/>
  <c r="AC37" i="1" s="1"/>
  <c r="R37" i="1"/>
  <c r="R38" i="1" s="1"/>
  <c r="Q37" i="1"/>
  <c r="S37" i="1" s="1"/>
  <c r="T37" i="1" s="1"/>
  <c r="U37" i="1" s="1"/>
  <c r="AH36" i="1"/>
  <c r="AI36" i="1" s="1"/>
  <c r="AJ36" i="1" s="1"/>
  <c r="AF36" i="1"/>
  <c r="AB36" i="1"/>
  <c r="AC36" i="1" s="1"/>
  <c r="AA36" i="1"/>
  <c r="Q36" i="1"/>
  <c r="S36" i="1" s="1"/>
  <c r="T36" i="1" s="1"/>
  <c r="U36" i="1" s="1"/>
  <c r="AF35" i="1"/>
  <c r="AH35" i="1" s="1"/>
  <c r="AI35" i="1" s="1"/>
  <c r="AJ35" i="1" s="1"/>
  <c r="AA35" i="1"/>
  <c r="AB35" i="1" s="1"/>
  <c r="Q35" i="1"/>
  <c r="S35" i="1" s="1"/>
  <c r="T35" i="1" s="1"/>
  <c r="U35" i="1" s="1"/>
  <c r="AF34" i="1"/>
  <c r="AH34" i="1" s="1"/>
  <c r="AI34" i="1" s="1"/>
  <c r="AJ34" i="1" s="1"/>
  <c r="AA34" i="1"/>
  <c r="AB34" i="1" s="1"/>
  <c r="AC34" i="1" s="1"/>
  <c r="Q34" i="1"/>
  <c r="S34" i="1" s="1"/>
  <c r="T34" i="1" s="1"/>
  <c r="U34" i="1" s="1"/>
  <c r="AJ33" i="1"/>
  <c r="AF33" i="1"/>
  <c r="AH33" i="1" s="1"/>
  <c r="AI33" i="1" s="1"/>
  <c r="AB33" i="1"/>
  <c r="AC33" i="1" s="1"/>
  <c r="AA33" i="1"/>
  <c r="Q33" i="1"/>
  <c r="S33" i="1" s="1"/>
  <c r="T33" i="1" s="1"/>
  <c r="U33" i="1" s="1"/>
  <c r="AF32" i="1"/>
  <c r="AH32" i="1" s="1"/>
  <c r="AI32" i="1" s="1"/>
  <c r="AJ32" i="1" s="1"/>
  <c r="AB32" i="1"/>
  <c r="AC32" i="1" s="1"/>
  <c r="AA32" i="1"/>
  <c r="Q32" i="1"/>
  <c r="S32" i="1" s="1"/>
  <c r="T32" i="1" s="1"/>
  <c r="U32" i="1" s="1"/>
  <c r="AF31" i="1"/>
  <c r="AH31" i="1" s="1"/>
  <c r="AI31" i="1" s="1"/>
  <c r="AJ31" i="1" s="1"/>
  <c r="AB31" i="1"/>
  <c r="AC31" i="1" s="1"/>
  <c r="AA31" i="1"/>
  <c r="U31" i="1"/>
  <c r="T31" i="1"/>
  <c r="S31" i="1"/>
  <c r="Q31" i="1"/>
  <c r="AF30" i="1"/>
  <c r="AH30" i="1" s="1"/>
  <c r="AI30" i="1" s="1"/>
  <c r="AJ30" i="1" s="1"/>
  <c r="AC30" i="1"/>
  <c r="AB30" i="1"/>
  <c r="AA30" i="1"/>
  <c r="Q30" i="1"/>
  <c r="S30" i="1" s="1"/>
  <c r="T30" i="1" s="1"/>
  <c r="U30" i="1" s="1"/>
  <c r="AF29" i="1"/>
  <c r="AH29" i="1" s="1"/>
  <c r="AI29" i="1" s="1"/>
  <c r="AJ29" i="1" s="1"/>
  <c r="AB29" i="1"/>
  <c r="AC29" i="1" s="1"/>
  <c r="AA29" i="1"/>
  <c r="S29" i="1"/>
  <c r="T29" i="1" s="1"/>
  <c r="U29" i="1" s="1"/>
  <c r="Q29" i="1"/>
  <c r="AF28" i="1"/>
  <c r="AH28" i="1" s="1"/>
  <c r="AI28" i="1" s="1"/>
  <c r="AJ28" i="1" s="1"/>
  <c r="AA28" i="1"/>
  <c r="AB28" i="1" s="1"/>
  <c r="AC28" i="1" s="1"/>
  <c r="Q28" i="1"/>
  <c r="S28" i="1" s="1"/>
  <c r="T28" i="1" s="1"/>
  <c r="U28" i="1" s="1"/>
  <c r="AI27" i="1"/>
  <c r="AJ27" i="1" s="1"/>
  <c r="AH27" i="1"/>
  <c r="AF27" i="1"/>
  <c r="AG27" i="1" s="1"/>
  <c r="AA27" i="1"/>
  <c r="AB27" i="1" s="1"/>
  <c r="AC27" i="1" s="1"/>
  <c r="T27" i="1"/>
  <c r="U27" i="1" s="1"/>
  <c r="S27" i="1"/>
  <c r="Q27" i="1"/>
  <c r="AH26" i="1"/>
  <c r="AI26" i="1" s="1"/>
  <c r="AJ26" i="1" s="1"/>
  <c r="AG26" i="1"/>
  <c r="AF26" i="1"/>
  <c r="AA26" i="1"/>
  <c r="AB26" i="1" s="1"/>
  <c r="AC26" i="1" s="1"/>
  <c r="T26" i="1"/>
  <c r="U26" i="1" s="1"/>
  <c r="S26" i="1"/>
  <c r="Q26" i="1"/>
  <c r="AH25" i="1"/>
  <c r="AI25" i="1" s="1"/>
  <c r="AJ25" i="1" s="1"/>
  <c r="AG25" i="1"/>
  <c r="AG28" i="1" s="1"/>
  <c r="AF25" i="1"/>
  <c r="AB25" i="1"/>
  <c r="AC25" i="1" s="1"/>
  <c r="AA25" i="1"/>
  <c r="Q25" i="1"/>
  <c r="S25" i="1" s="1"/>
  <c r="T25" i="1" s="1"/>
  <c r="U25" i="1" s="1"/>
  <c r="AF24" i="1"/>
  <c r="AH24" i="1" s="1"/>
  <c r="AI24" i="1" s="1"/>
  <c r="AJ24" i="1" s="1"/>
  <c r="AA24" i="1"/>
  <c r="AB24" i="1" s="1"/>
  <c r="AC24" i="1" s="1"/>
  <c r="S24" i="1"/>
  <c r="T24" i="1" s="1"/>
  <c r="U24" i="1" s="1"/>
  <c r="Q24" i="1"/>
  <c r="AG23" i="1"/>
  <c r="AF23" i="1"/>
  <c r="AH23" i="1" s="1"/>
  <c r="AI23" i="1" s="1"/>
  <c r="AJ23" i="1" s="1"/>
  <c r="AA23" i="1"/>
  <c r="AB23" i="1" s="1"/>
  <c r="AC23" i="1" s="1"/>
  <c r="Q23" i="1"/>
  <c r="S23" i="1" s="1"/>
  <c r="T23" i="1" s="1"/>
  <c r="U23" i="1" s="1"/>
  <c r="AF22" i="1"/>
  <c r="AH22" i="1" s="1"/>
  <c r="AI22" i="1" s="1"/>
  <c r="AJ22" i="1" s="1"/>
  <c r="AA22" i="1"/>
  <c r="AB22" i="1" s="1"/>
  <c r="AC22" i="1" s="1"/>
  <c r="Q22" i="1"/>
  <c r="S22" i="1" s="1"/>
  <c r="T22" i="1" s="1"/>
  <c r="U22" i="1" s="1"/>
  <c r="AF21" i="1"/>
  <c r="AH21" i="1" s="1"/>
  <c r="AI21" i="1" s="1"/>
  <c r="AJ21" i="1" s="1"/>
  <c r="AB21" i="1"/>
  <c r="AC21" i="1" s="1"/>
  <c r="AA21" i="1"/>
  <c r="Q21" i="1"/>
  <c r="S21" i="1" s="1"/>
  <c r="T21" i="1" s="1"/>
  <c r="U21" i="1" s="1"/>
  <c r="AI20" i="1"/>
  <c r="AJ20" i="1" s="1"/>
  <c r="AH20" i="1"/>
  <c r="AF20" i="1"/>
  <c r="AG20" i="1" s="1"/>
  <c r="AA20" i="1"/>
  <c r="AB20" i="1" s="1"/>
  <c r="AC20" i="1" s="1"/>
  <c r="T20" i="1"/>
  <c r="U20" i="1" s="1"/>
  <c r="S20" i="1"/>
  <c r="Q20" i="1"/>
  <c r="AF19" i="1"/>
  <c r="AH19" i="1" s="1"/>
  <c r="AI19" i="1" s="1"/>
  <c r="AJ19" i="1" s="1"/>
  <c r="AA19" i="1"/>
  <c r="AB19" i="1" s="1"/>
  <c r="AC19" i="1" s="1"/>
  <c r="Q19" i="1"/>
  <c r="S19" i="1" s="1"/>
  <c r="T19" i="1" s="1"/>
  <c r="U19" i="1" s="1"/>
  <c r="AH18" i="1"/>
  <c r="AI18" i="1" s="1"/>
  <c r="AJ18" i="1" s="1"/>
  <c r="AG18" i="1"/>
  <c r="AG21" i="1" s="1"/>
  <c r="AF18" i="1"/>
  <c r="AA18" i="1"/>
  <c r="AB18" i="1" s="1"/>
  <c r="AC18" i="1" s="1"/>
  <c r="Q18" i="1"/>
  <c r="AF17" i="1"/>
  <c r="AH17" i="1" s="1"/>
  <c r="AI17" i="1" s="1"/>
  <c r="AJ17" i="1" s="1"/>
  <c r="AA17" i="1"/>
  <c r="AB17" i="1" s="1"/>
  <c r="AC17" i="1" s="1"/>
  <c r="Q17" i="1"/>
  <c r="S17" i="1" s="1"/>
  <c r="T17" i="1" s="1"/>
  <c r="U17" i="1" s="1"/>
  <c r="AF16" i="1"/>
  <c r="AH16" i="1" s="1"/>
  <c r="AI16" i="1" s="1"/>
  <c r="AJ16" i="1" s="1"/>
  <c r="AA16" i="1"/>
  <c r="AB16" i="1" s="1"/>
  <c r="AC16" i="1" s="1"/>
  <c r="S16" i="1"/>
  <c r="T16" i="1" s="1"/>
  <c r="U16" i="1" s="1"/>
  <c r="Q16" i="1"/>
  <c r="AJ15" i="1"/>
  <c r="AF15" i="1"/>
  <c r="AH15" i="1" s="1"/>
  <c r="AI15" i="1" s="1"/>
  <c r="AA15" i="1"/>
  <c r="AB15" i="1" s="1"/>
  <c r="AC15" i="1" s="1"/>
  <c r="T15" i="1"/>
  <c r="U15" i="1" s="1"/>
  <c r="S15" i="1"/>
  <c r="Q15" i="1"/>
  <c r="AF14" i="1"/>
  <c r="AH14" i="1" s="1"/>
  <c r="AI14" i="1" s="1"/>
  <c r="AJ14" i="1" s="1"/>
  <c r="AC14" i="1"/>
  <c r="AB14" i="1"/>
  <c r="AA14" i="1"/>
  <c r="S14" i="1"/>
  <c r="T14" i="1" s="1"/>
  <c r="U14" i="1" s="1"/>
  <c r="R14" i="1"/>
  <c r="Q14" i="1"/>
  <c r="AH13" i="1"/>
  <c r="AI13" i="1" s="1"/>
  <c r="AJ13" i="1" s="1"/>
  <c r="AF13" i="1"/>
  <c r="AA13" i="1"/>
  <c r="AB13" i="1" s="1"/>
  <c r="AC13" i="1" s="1"/>
  <c r="T13" i="1"/>
  <c r="U13" i="1" s="1"/>
  <c r="S13" i="1"/>
  <c r="Q13" i="1"/>
  <c r="AF12" i="1"/>
  <c r="AH12" i="1" s="1"/>
  <c r="AI12" i="1" s="1"/>
  <c r="AJ12" i="1" s="1"/>
  <c r="AA12" i="1"/>
  <c r="AB12" i="1" s="1"/>
  <c r="AC12" i="1" s="1"/>
  <c r="T12" i="1"/>
  <c r="U12" i="1" s="1"/>
  <c r="S12" i="1"/>
  <c r="Q12" i="1"/>
  <c r="AJ11" i="1"/>
  <c r="AI11" i="1"/>
  <c r="AH11" i="1"/>
  <c r="AF11" i="1"/>
  <c r="AA11" i="1"/>
  <c r="AB11" i="1" s="1"/>
  <c r="AC11" i="1" s="1"/>
  <c r="Q11" i="1"/>
  <c r="S11" i="1" s="1"/>
  <c r="T11" i="1" s="1"/>
  <c r="U11" i="1" s="1"/>
  <c r="AF10" i="1"/>
  <c r="AH10" i="1" s="1"/>
  <c r="AI10" i="1" s="1"/>
  <c r="AJ10" i="1" s="1"/>
  <c r="AA10" i="1"/>
  <c r="AB10" i="1" s="1"/>
  <c r="AC10" i="1" s="1"/>
  <c r="R10" i="1"/>
  <c r="Q10" i="1"/>
  <c r="S10" i="1" s="1"/>
  <c r="T10" i="1" s="1"/>
  <c r="U10" i="1" s="1"/>
  <c r="AF9" i="1"/>
  <c r="AH9" i="1" s="1"/>
  <c r="AI9" i="1" s="1"/>
  <c r="AJ9" i="1" s="1"/>
  <c r="AA9" i="1"/>
  <c r="AB9" i="1" s="1"/>
  <c r="AC9" i="1" s="1"/>
  <c r="Q9" i="1"/>
  <c r="S9" i="1" s="1"/>
  <c r="T9" i="1" s="1"/>
  <c r="U9" i="1" s="1"/>
  <c r="AF8" i="1"/>
  <c r="AH8" i="1" s="1"/>
  <c r="AI8" i="1" s="1"/>
  <c r="AJ8" i="1" s="1"/>
  <c r="AA8" i="1"/>
  <c r="AB8" i="1" s="1"/>
  <c r="AC8" i="1" s="1"/>
  <c r="Q8" i="1"/>
  <c r="S8" i="1" s="1"/>
  <c r="T8" i="1" s="1"/>
  <c r="U8" i="1" s="1"/>
  <c r="AH7" i="1"/>
  <c r="AI7" i="1" s="1"/>
  <c r="AJ7" i="1" s="1"/>
  <c r="AF7" i="1"/>
  <c r="AA7" i="1"/>
  <c r="AB7" i="1" s="1"/>
  <c r="AC7" i="1" s="1"/>
  <c r="Q7" i="1"/>
  <c r="S7" i="1" s="1"/>
  <c r="T7" i="1" s="1"/>
  <c r="U7" i="1" s="1"/>
  <c r="AH6" i="1"/>
  <c r="AI6" i="1" s="1"/>
  <c r="AJ6" i="1" s="1"/>
  <c r="AF6" i="1"/>
  <c r="AA6" i="1"/>
  <c r="AB6" i="1" s="1"/>
  <c r="AC6" i="1" s="1"/>
  <c r="Q6" i="1"/>
  <c r="S6" i="1" s="1"/>
  <c r="T6" i="1" s="1"/>
  <c r="U6" i="1" s="1"/>
  <c r="AF5" i="1"/>
  <c r="AH5" i="1" s="1"/>
  <c r="AI5" i="1" s="1"/>
  <c r="AJ5" i="1" s="1"/>
  <c r="AA5" i="1"/>
  <c r="AB5" i="1" s="1"/>
  <c r="AC5" i="1" s="1"/>
  <c r="S5" i="1"/>
  <c r="T5" i="1" s="1"/>
  <c r="U5" i="1" s="1"/>
  <c r="Q5" i="1"/>
  <c r="AI4" i="1"/>
  <c r="AJ4" i="1" s="1"/>
  <c r="AH4" i="1"/>
  <c r="AF4" i="1"/>
  <c r="AB4" i="1"/>
  <c r="AC4" i="1" s="1"/>
  <c r="AA4" i="1"/>
  <c r="S4" i="1"/>
  <c r="T4" i="1" s="1"/>
  <c r="U4" i="1" s="1"/>
  <c r="Q4" i="1"/>
  <c r="AF3" i="1"/>
  <c r="AH3" i="1" s="1"/>
  <c r="AI3" i="1" s="1"/>
  <c r="AJ3" i="1" s="1"/>
  <c r="AA3" i="1"/>
  <c r="AB3" i="1" s="1"/>
  <c r="AC3" i="1" s="1"/>
  <c r="S3" i="1"/>
  <c r="T3" i="1" s="1"/>
  <c r="U3" i="1" s="1"/>
  <c r="AI2" i="1"/>
  <c r="AJ2" i="1" s="1"/>
  <c r="AH2" i="1"/>
  <c r="AF2" i="1"/>
  <c r="AA2" i="1"/>
  <c r="AB2" i="1" s="1"/>
  <c r="AC2" i="1" s="1"/>
  <c r="Q2" i="1"/>
  <c r="S2" i="1" s="1"/>
  <c r="T2" i="1" s="1"/>
  <c r="U2" i="1" s="1"/>
  <c r="S166" i="1" l="1"/>
  <c r="AI95" i="1"/>
  <c r="AJ95" i="1" s="1"/>
  <c r="AG142" i="1"/>
  <c r="AG147" i="1" s="1"/>
  <c r="AM8" i="1"/>
  <c r="AI150" i="1"/>
  <c r="AJ150" i="1" s="1"/>
  <c r="U179" i="1"/>
  <c r="S118" i="1"/>
  <c r="S126" i="1"/>
  <c r="T126" i="1" s="1"/>
  <c r="U126" i="1" s="1"/>
  <c r="AH41" i="1"/>
  <c r="AI41" i="1" s="1"/>
  <c r="AJ41" i="1" s="1"/>
  <c r="T95" i="1"/>
  <c r="U95" i="1" s="1"/>
  <c r="R142" i="1"/>
  <c r="U200" i="1"/>
  <c r="S139" i="1"/>
  <c r="T139" i="1" s="1"/>
  <c r="U139" i="1" s="1"/>
  <c r="S115" i="1"/>
  <c r="T115" i="1" s="1"/>
  <c r="U115" i="1" s="1"/>
  <c r="R20" i="1"/>
  <c r="S120" i="1"/>
  <c r="T120" i="1" s="1"/>
  <c r="U120" i="1" s="1"/>
  <c r="S130" i="1"/>
  <c r="T130" i="1" s="1"/>
  <c r="U130" i="1" s="1"/>
  <c r="AD1" i="1"/>
  <c r="S18" i="1"/>
  <c r="T18" i="1" s="1"/>
  <c r="U18" i="1" s="1"/>
  <c r="R18" i="1"/>
  <c r="R25" i="1"/>
  <c r="R28" i="1" s="1"/>
  <c r="U197" i="1"/>
  <c r="S136" i="1"/>
  <c r="T136" i="1" s="1"/>
  <c r="U136" i="1" s="1"/>
  <c r="U189" i="1"/>
  <c r="S128" i="1"/>
  <c r="T128" i="1" s="1"/>
  <c r="U128" i="1" s="1"/>
  <c r="AI97" i="1"/>
  <c r="AJ97" i="1" s="1"/>
  <c r="S124" i="1"/>
  <c r="T124" i="1" s="1"/>
  <c r="U124" i="1" s="1"/>
  <c r="U185" i="1"/>
  <c r="U198" i="1"/>
  <c r="R12" i="1"/>
  <c r="R15" i="1" s="1"/>
  <c r="R146" i="1"/>
  <c r="T87" i="1"/>
  <c r="U87" i="1" s="1"/>
  <c r="R147" i="1" l="1"/>
  <c r="T118" i="1"/>
  <c r="U118" i="1" s="1"/>
  <c r="V8" i="1"/>
  <c r="R21" i="1"/>
  <c r="A1" i="1"/>
  <c r="A1" i="1" a="1"/>
</calcChain>
</file>

<file path=xl/sharedStrings.xml><?xml version="1.0" encoding="utf-8"?>
<sst xmlns="http://schemas.openxmlformats.org/spreadsheetml/2006/main" count="1053" uniqueCount="269">
  <si>
    <t>Ionizable_Lipid_1</t>
  </si>
  <si>
    <t>IL1_Mol_Percent</t>
  </si>
  <si>
    <t>Ionizable_Lipid_2</t>
  </si>
  <si>
    <t>IL2_Mol_Percent</t>
  </si>
  <si>
    <t>Phospholipid</t>
  </si>
  <si>
    <t>Phospholipid_Mol_Percent</t>
  </si>
  <si>
    <t>Cholesterol_Mol_Percent</t>
  </si>
  <si>
    <t>PEG类型</t>
  </si>
  <si>
    <t>PEG_Mol_Percent</t>
  </si>
  <si>
    <t>Total_Ionizable_Lipid_Mol_Ratio</t>
  </si>
  <si>
    <t>Particle_Size (nm)</t>
  </si>
  <si>
    <t>PDI</t>
  </si>
  <si>
    <t>Zeta_Potential (mV)</t>
  </si>
  <si>
    <t>pKa</t>
  </si>
  <si>
    <t>DC_Cell_Transfection_Efficiency</t>
  </si>
  <si>
    <t>全部取log</t>
  </si>
  <si>
    <t>计算标准LNP的过程</t>
  </si>
  <si>
    <t>校准后的log</t>
  </si>
  <si>
    <t>Li-Min</t>
  </si>
  <si>
    <t>Normalized for DC2.4</t>
  </si>
  <si>
    <t>in same log value</t>
  </si>
  <si>
    <t>盘内标准</t>
  </si>
  <si>
    <t>R-S</t>
  </si>
  <si>
    <t>R-min</t>
  </si>
  <si>
    <t>DC normolized</t>
  </si>
  <si>
    <t>HaCaT_Cell_Transfection_Efficiency</t>
  </si>
  <si>
    <t>Normalized for HaCaT</t>
  </si>
  <si>
    <t>MC3</t>
  </si>
  <si>
    <t>DODAP</t>
  </si>
  <si>
    <t>DOPE</t>
  </si>
  <si>
    <t>DMG-PEG2000</t>
  </si>
  <si>
    <t>ALC-0315</t>
  </si>
  <si>
    <t>DSPC</t>
  </si>
  <si>
    <t>C12-200</t>
  </si>
  <si>
    <t>DOTAP</t>
  </si>
  <si>
    <t>SM102</t>
  </si>
  <si>
    <t>Max-Min=</t>
  </si>
  <si>
    <t>Max-Min</t>
  </si>
  <si>
    <t>Min=3.84709241853782</t>
  </si>
  <si>
    <t>R4-R1=-1.418776811(先把R4的加一个1.4….再加一个0.072.。。）</t>
  </si>
  <si>
    <t>R3-R1=-0.900826491 (先把R3的加一个0.9….再加一个0.072.。。）</t>
  </si>
  <si>
    <t>R3-R1=-0.900826491 (先把R3的减一个0.175….再减一个0.2959）来用R2后对齐</t>
  </si>
  <si>
    <t>标样在R2后-R1=0.072429496（后面全部拿R2后来对齐）</t>
  </si>
  <si>
    <t>标样在R2后-R1=-0.295981468（后面全部拿R2后来对齐）</t>
  </si>
  <si>
    <t>算R4先加一个R2前比R2后小的值，再加一个0.185.。。</t>
  </si>
  <si>
    <t>配方编号</t>
  </si>
  <si>
    <t>离子化脂质1</t>
  </si>
  <si>
    <t>IL1摩尔百分比</t>
  </si>
  <si>
    <t>离子化脂质2</t>
  </si>
  <si>
    <t>IL2摩尔百分比</t>
  </si>
  <si>
    <t>磷脂</t>
  </si>
  <si>
    <t>磷脂摩尔百分比</t>
  </si>
  <si>
    <t>胆固醇摩尔百分比</t>
  </si>
  <si>
    <t>PEG摩尔百分比</t>
  </si>
  <si>
    <t>R2-01</t>
  </si>
  <si>
    <t>CCK12</t>
  </si>
  <si>
    <t>R2-02</t>
  </si>
  <si>
    <t>C14-PEG</t>
  </si>
  <si>
    <t>R2-03</t>
  </si>
  <si>
    <t>R2-04</t>
  </si>
  <si>
    <t>算R3先加一个R2前比R2后小的值，再加一个0.185.。。</t>
  </si>
  <si>
    <t>上面是R3-R2前，要先减一个1.619变成R2前，再加一个1.681变成R2后</t>
  </si>
  <si>
    <t>R2-05</t>
  </si>
  <si>
    <t>R2-06</t>
  </si>
  <si>
    <t>PEG-Mannose</t>
  </si>
  <si>
    <t>R2-07</t>
  </si>
  <si>
    <t>R2-08</t>
  </si>
  <si>
    <t>R2-09</t>
  </si>
  <si>
    <t>R2-10</t>
  </si>
  <si>
    <t>R2-11</t>
  </si>
  <si>
    <t>R2-12</t>
  </si>
  <si>
    <t>R2-13</t>
  </si>
  <si>
    <t>标样在R2后-R2前=1.18531722</t>
  </si>
  <si>
    <t>标样在R2后-R2前=1.68185340162316 (以R2后为标准）</t>
  </si>
  <si>
    <t>R2-14</t>
  </si>
  <si>
    <t>R2-15</t>
  </si>
  <si>
    <t>R2-16</t>
  </si>
  <si>
    <t>R2-17</t>
  </si>
  <si>
    <t>R2-18</t>
  </si>
  <si>
    <t>R2-19</t>
  </si>
  <si>
    <t>R2-20</t>
  </si>
  <si>
    <t>R2-21</t>
  </si>
  <si>
    <t>R2-22</t>
  </si>
  <si>
    <t>R2-23</t>
  </si>
  <si>
    <t>R2-24</t>
  </si>
  <si>
    <t>R2-25</t>
  </si>
  <si>
    <t>R2-26</t>
  </si>
  <si>
    <t>R2-27</t>
  </si>
  <si>
    <t>R2-28</t>
  </si>
  <si>
    <t>R2-29</t>
  </si>
  <si>
    <t>R2-30</t>
  </si>
  <si>
    <t>R2-31</t>
  </si>
  <si>
    <t>R2-32</t>
  </si>
  <si>
    <t>R2-33</t>
  </si>
  <si>
    <t>R2-34</t>
  </si>
  <si>
    <t>R2-35</t>
  </si>
  <si>
    <t>R2-36</t>
  </si>
  <si>
    <t>R2-37</t>
  </si>
  <si>
    <t>R2-38</t>
  </si>
  <si>
    <t>R2-39</t>
  </si>
  <si>
    <t>R2-40</t>
  </si>
  <si>
    <t>Calibration</t>
  </si>
  <si>
    <t>41 (plate 2-14)</t>
  </si>
  <si>
    <t>42 (plate 2-15)</t>
  </si>
  <si>
    <t>43 (plate 1-24)</t>
  </si>
  <si>
    <t>44 (plate 1-25)</t>
  </si>
  <si>
    <t>45 (plate 1-26)</t>
  </si>
  <si>
    <t>Corrected_HaCaT_Transfection_Efficiency</t>
  </si>
  <si>
    <t>R3-01</t>
  </si>
  <si>
    <t>R3-02</t>
  </si>
  <si>
    <t>R3-03</t>
  </si>
  <si>
    <t>R3-04</t>
  </si>
  <si>
    <t>R3-05</t>
  </si>
  <si>
    <t>R3-06</t>
  </si>
  <si>
    <t>R3-07</t>
  </si>
  <si>
    <t>R3-08</t>
  </si>
  <si>
    <t>R3-09</t>
  </si>
  <si>
    <t>R3-10</t>
  </si>
  <si>
    <t>R3-11</t>
  </si>
  <si>
    <t>R3-12</t>
  </si>
  <si>
    <t>R3-13</t>
  </si>
  <si>
    <t>R3-14</t>
  </si>
  <si>
    <t>R3-15</t>
  </si>
  <si>
    <t>ALC0315</t>
  </si>
  <si>
    <t>R3-16</t>
  </si>
  <si>
    <t>R3-17</t>
  </si>
  <si>
    <t>R3-18</t>
  </si>
  <si>
    <t>R3-19</t>
  </si>
  <si>
    <t>R3-20</t>
  </si>
  <si>
    <t>R3-21</t>
  </si>
  <si>
    <t>R3-22</t>
  </si>
  <si>
    <t>R3-23</t>
  </si>
  <si>
    <t>R3-24</t>
  </si>
  <si>
    <t>R3-25</t>
  </si>
  <si>
    <t>R3-26</t>
  </si>
  <si>
    <t>把R2-3和R1要加的都取了平均</t>
  </si>
  <si>
    <t>R2-03 （R3-27）</t>
  </si>
  <si>
    <t>应该加1.370397755</t>
  </si>
  <si>
    <t>R1-17（R3-28）</t>
  </si>
  <si>
    <t>R1-19 （R3-29）</t>
  </si>
  <si>
    <t>应该加 0.973255987</t>
  </si>
  <si>
    <t>Ionizable 1</t>
  </si>
  <si>
    <t>IL1 mol%</t>
  </si>
  <si>
    <t>Ionizable 2</t>
  </si>
  <si>
    <t>IL2 mol%</t>
  </si>
  <si>
    <t>Phos mol%</t>
  </si>
  <si>
    <t>Chol mol%</t>
  </si>
  <si>
    <t>PEG lipid</t>
  </si>
  <si>
    <t>PEG mol%</t>
  </si>
  <si>
    <t>IL1:IL2</t>
  </si>
  <si>
    <t>R4-01</t>
  </si>
  <si>
    <t>70:30</t>
  </si>
  <si>
    <t>R4-02</t>
  </si>
  <si>
    <t>60:40</t>
  </si>
  <si>
    <t>R4-03</t>
  </si>
  <si>
    <t>50:50</t>
  </si>
  <si>
    <t>R4-04</t>
  </si>
  <si>
    <t>40:60</t>
  </si>
  <si>
    <t>R4-05</t>
  </si>
  <si>
    <t>30:70</t>
  </si>
  <si>
    <t>R4-06</t>
  </si>
  <si>
    <t>35:65</t>
  </si>
  <si>
    <t>R4-07</t>
  </si>
  <si>
    <t>R4-08</t>
  </si>
  <si>
    <t>R4-09</t>
  </si>
  <si>
    <t>R4-10</t>
  </si>
  <si>
    <t>R4-11</t>
  </si>
  <si>
    <t>R4-12</t>
  </si>
  <si>
    <t>CKK-E12</t>
  </si>
  <si>
    <t>45:55</t>
  </si>
  <si>
    <t>R4-13</t>
  </si>
  <si>
    <t>33:67</t>
  </si>
  <si>
    <t>R4-14</t>
  </si>
  <si>
    <t>R4-15</t>
  </si>
  <si>
    <t>31:69</t>
  </si>
  <si>
    <t>R4-16</t>
  </si>
  <si>
    <t>69:31</t>
  </si>
  <si>
    <t>R4-17</t>
  </si>
  <si>
    <t>R4-18</t>
  </si>
  <si>
    <t>R4-19</t>
  </si>
  <si>
    <t>R4-20</t>
  </si>
  <si>
    <t>37:63</t>
  </si>
  <si>
    <t>R4-21</t>
  </si>
  <si>
    <t>32:68</t>
  </si>
  <si>
    <t>R4-22</t>
  </si>
  <si>
    <t>34:66</t>
  </si>
  <si>
    <t>R4-23</t>
  </si>
  <si>
    <t>57:43</t>
  </si>
  <si>
    <t>R4-24</t>
  </si>
  <si>
    <t>65:35</t>
  </si>
  <si>
    <t>把这三个和R3一样的孔机械转化，分别对应R3-R4=2.38110814914934</t>
  </si>
  <si>
    <t>把这三个和R3一样的孔机械转化，分别对应R3-R4=-0.0063792132730122</t>
  </si>
  <si>
    <t>R4-25 （R3-11）</t>
  </si>
  <si>
    <t>R4-26 （R3-09）</t>
  </si>
  <si>
    <t>R4-27</t>
  </si>
  <si>
    <t>R4-28</t>
  </si>
  <si>
    <t>R4-29（R3-01）</t>
  </si>
  <si>
    <t>R4-30</t>
  </si>
  <si>
    <t>R2 的差距 1.84678265440802</t>
  </si>
  <si>
    <t>R1-17</t>
  </si>
  <si>
    <t>R1的差距 1.49120630634595</t>
  </si>
  <si>
    <t>R1-19</t>
  </si>
  <si>
    <t>R5-01</t>
  </si>
  <si>
    <t>R5-02</t>
  </si>
  <si>
    <t>R5-03</t>
  </si>
  <si>
    <t>R5-04</t>
  </si>
  <si>
    <t>R5-05</t>
  </si>
  <si>
    <t>R5-06</t>
  </si>
  <si>
    <t>R5-07</t>
  </si>
  <si>
    <t>R5-08</t>
  </si>
  <si>
    <t>R5-09</t>
  </si>
  <si>
    <t>R5-10</t>
  </si>
  <si>
    <t>R5-11</t>
  </si>
  <si>
    <t>R5-12</t>
  </si>
  <si>
    <t>R5-13</t>
  </si>
  <si>
    <t>R3-27</t>
  </si>
  <si>
    <t>R3-28</t>
  </si>
  <si>
    <t>R5-13 to R5-16 are calibration formulations mapped to R4/R3 anchor formulations as indicated in the original R5 design table.</t>
  </si>
  <si>
    <t>脂质名称</t>
  </si>
  <si>
    <t>脂质类别</t>
  </si>
  <si>
    <t>标准 SMILES 表达式</t>
  </si>
  <si>
    <t>LogP</t>
  </si>
  <si>
    <t>Molecular Weight g/mol</t>
  </si>
  <si>
    <t>Hydrogen Bond Donor Count</t>
  </si>
  <si>
    <t>Hydrogen Bond Acceptor Count</t>
  </si>
  <si>
    <t>Topological Polar Surface Area</t>
  </si>
  <si>
    <t>DLin-MC3-DMA (MC3)</t>
  </si>
  <si>
    <t>离子化脂质</t>
  </si>
  <si>
    <t>CCCCC/C=C\C/C=C\CCCCCCCCC(OC(=O)CCCN(C)C)CCCCCCCC/C=C\C/C=C\CCCCC</t>
  </si>
  <si>
    <t>29.5 Å²</t>
  </si>
  <si>
    <t>CCCCCCCCC(CCCCCC)C(=O)OCCCCCCN(CCCCCCOC(=O)C(CCCCCC)CCCCCCCC)CCCCO</t>
  </si>
  <si>
    <t>766.3 </t>
  </si>
  <si>
    <t>76.1 Å²</t>
  </si>
  <si>
    <t>SM-102</t>
  </si>
  <si>
    <t>CCCCCCCCCCCOC(=O)CCCCCN(CCCCCCCC(=O)OC(CCCCCCCC)CCCCCCCC)CCO</t>
  </si>
  <si>
    <t>CCCCCCCCCCC(CN(CCN1CCN(CC1)CCN(CC(CCCCCCCCCC)O)CC(CCCCCCCCCC)O)CCN(CC(CCCCCCCCCC)O)CC(CCCCCCCCCC)O)O</t>
  </si>
  <si>
    <t>117 Å²</t>
  </si>
  <si>
    <t>CKK-E12 (CCK12)</t>
  </si>
  <si>
    <t>CCCCCCCCCCC(CN(CCCCC1C(=O)NC(C(=O)N1)CCCCN(CC(CCCCCCCCCC)O)CC(CCCCCCCCCC)O)CC(CCCCCCCCCC)O)O</t>
  </si>
  <si>
    <t>146 Å²</t>
  </si>
  <si>
    <t>离子化脂质(阳离子)</t>
  </si>
  <si>
    <t>CCCCCCCC/C=C\CCCCCCCC(=O)OCC(C[N+](C)(C)C)OC(=O)CCCCCCC/C=C\CCCCCCCC</t>
  </si>
  <si>
    <t>52.6 Å²</t>
  </si>
  <si>
    <t>CCCCCCCC/C=C\CCCCCCCC(=O)OCC(CN(C)C)OC(=O)CCCCCCC/C=C\CCCCCCCC</t>
  </si>
  <si>
    <t>55.8 Å²</t>
  </si>
  <si>
    <t>磷脂 (Helper Lipid)</t>
  </si>
  <si>
    <t>CCCCCCCCCCCCCCCCCC(=O)OC[C@H](COP(=O)([O-])OCC[N+](C)(C)C)OC(=O)CCCCCCCCCCCCCCCCC</t>
  </si>
  <si>
    <t>111 Å²</t>
  </si>
  <si>
    <t>CCCCCCCC/C=C\CCCCCCCC(=O)OC[C@H](COP(=O)(O)OCCN)OC(=O)CCCCCCC/C=C\CCCCCCCC</t>
  </si>
  <si>
    <t>134 Å²</t>
  </si>
  <si>
    <t>Cholesterol</t>
  </si>
  <si>
    <t>胆固醇 (Sterol)</t>
  </si>
  <si>
    <t>C[C@H](CCCC(C)C)[C@H]1CC[C@@H]2[C@@]1(CC[C@H]3[C@H]2CC=C4[C@@]3(CC[C@@H](C4)O)C)C</t>
  </si>
  <si>
    <t>20.2 Å²</t>
  </si>
  <si>
    <t>PEG 脂质</t>
  </si>
  <si>
    <t>CCCCCCCCCCCCCC(=O)OCC(COCCOC)OC(=O)CCCCCCCCCCCCC</t>
  </si>
  <si>
    <t>71.1 Å²</t>
  </si>
  <si>
    <t>C14-PEG (ALC-0159)</t>
  </si>
  <si>
    <t>CCCCCCCCCCCCCCCN(CCCCCCCCCCCCCC)C(=O)COCCOC</t>
  </si>
  <si>
    <t>38.8 Å²</t>
  </si>
  <si>
    <t>改性 PEG 脂质</t>
  </si>
  <si>
    <t>CCCCCCCCCCCCCCCCCC(=O)OCC(COP(=O)(O)OCCNC(=O)OCCOCC(=O)OC[C@@H]1[C@H]([C@@H]([C@@H]([C@@H](O1)O)O)O)O)OC(=O)CCCCCCCCCCCCCCCCC</t>
  </si>
  <si>
    <t>272 Å²</t>
  </si>
  <si>
    <t>R5-13（R4-01）</t>
    <phoneticPr fontId="25" type="noConversion"/>
  </si>
  <si>
    <t>R5-14 （R4-26 R3-09）</t>
    <phoneticPr fontId="25" type="noConversion"/>
  </si>
  <si>
    <t>R5-15 （R4-25 R3-11）</t>
    <phoneticPr fontId="25" type="noConversion"/>
  </si>
  <si>
    <t>R5-16 （R4-28）</t>
    <phoneticPr fontId="25" type="noConversion"/>
  </si>
  <si>
    <t>Mutudc1940_Cell_Transfection_Efficiency</t>
    <phoneticPr fontId="25" type="noConversion"/>
  </si>
  <si>
    <t>THP-1 DC_Cell_Transfection_Efficiency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</si>
</sst>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0.0000"/>
    <numFmt numFmtId="177" formatCode="0.00000"/>
    <numFmt numFmtId="178" formatCode="0.###"/>
    <numFmt numFmtId="179" formatCode="0.0_ "/>
  </numFmts>
  <fonts count="30" x14ac:knownFonts="1">
    <font>
      <sz val="11"/>
      <color theme="1"/>
      <name val="等线"/>
      <charset val="134"/>
      <scheme val="minor"/>
    </font>
    <font>
      <b/>
      <sz val="11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color rgb="FF000000"/>
      <name val="Arial"/>
      <family val="2"/>
    </font>
    <font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sz val="11"/>
      <color rgb="FFC00000"/>
      <name val="等线"/>
      <family val="3"/>
      <charset val="134"/>
      <scheme val="minor"/>
    </font>
    <font>
      <sz val="11"/>
      <color rgb="FF0070C0"/>
      <name val="等线"/>
      <family val="3"/>
      <charset val="134"/>
      <scheme val="minor"/>
    </font>
    <font>
      <sz val="7"/>
      <color rgb="FF27251E"/>
      <name val="Segoe UI"/>
      <family val="2"/>
    </font>
    <font>
      <sz val="7"/>
      <color rgb="FF111827"/>
      <name val="Arial"/>
      <family val="2"/>
    </font>
    <font>
      <sz val="8"/>
      <color rgb="FF111827"/>
      <name val="Arial"/>
      <family val="2"/>
    </font>
    <font>
      <b/>
      <sz val="9"/>
      <color rgb="FF00000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name val="等线"/>
      <family val="3"/>
      <charset val="134"/>
      <scheme val="minor"/>
    </font>
    <font>
      <sz val="9"/>
      <color rgb="FF000000"/>
      <name val="Arial"/>
      <family val="2"/>
    </font>
    <font>
      <sz val="11"/>
      <color theme="1"/>
      <name val="宋体"/>
      <family val="3"/>
      <charset val="134"/>
    </font>
    <font>
      <sz val="10"/>
      <name val="Arial"/>
      <family val="2"/>
    </font>
    <font>
      <b/>
      <sz val="11"/>
      <color rgb="FFFF0000"/>
      <name val="等线"/>
      <family val="3"/>
      <charset val="134"/>
      <scheme val="minor"/>
    </font>
    <font>
      <b/>
      <sz val="10"/>
      <color rgb="FFC00000"/>
      <name val="Arial"/>
      <family val="2"/>
    </font>
    <font>
      <sz val="11"/>
      <color rgb="FFFF0000"/>
      <name val="等线"/>
      <family val="3"/>
      <charset val="134"/>
      <scheme val="minor"/>
    </font>
    <font>
      <b/>
      <sz val="9"/>
      <color rgb="FFFF0000"/>
      <name val="Arial"/>
      <family val="2"/>
    </font>
    <font>
      <sz val="9"/>
      <name val="等线"/>
      <family val="3"/>
      <charset val="134"/>
      <scheme val="minor"/>
    </font>
    <font>
      <b/>
      <sz val="10"/>
      <color rgb="FF00A651"/>
      <name val="等线"/>
      <family val="3"/>
      <charset val="134"/>
    </font>
    <font>
      <sz val="10"/>
      <color theme="1"/>
      <name val="等线"/>
      <family val="3"/>
      <charset val="134"/>
    </font>
    <font>
      <sz val="11"/>
      <color rgb="FF7030A0"/>
      <name val="等线"/>
      <family val="3"/>
      <charset val="134"/>
    </font>
    <font>
      <sz val="11"/>
      <color rgb="FFFF0000"/>
      <name val="等线"/>
      <family val="3"/>
      <charset val="134"/>
    </font>
  </fonts>
  <fills count="4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FE4B5"/>
        <bgColor rgb="FFFFE4B5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AEEF3"/>
        <bgColor rgb="FFDAEEF3"/>
      </patternFill>
    </fill>
    <fill>
      <patternFill patternType="solid">
        <fgColor theme="5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CC"/>
      </patternFill>
    </fill>
    <fill>
      <patternFill patternType="solid">
        <fgColor rgb="FF00B050"/>
        <bgColor indexed="64"/>
      </patternFill>
    </fill>
    <fill>
      <patternFill patternType="solid">
        <fgColor rgb="FFFFF2CC"/>
        <bgColor rgb="FFFFE8CC"/>
      </patternFill>
    </fill>
    <fill>
      <patternFill patternType="solid">
        <fgColor rgb="FFFFE4B5"/>
        <bgColor rgb="FFFFE8CC"/>
      </patternFill>
    </fill>
    <fill>
      <patternFill patternType="solid">
        <fgColor rgb="FFE2EFDA"/>
        <bgColor rgb="FFDAEEF3"/>
      </patternFill>
    </fill>
    <fill>
      <patternFill patternType="solid">
        <fgColor rgb="FFFCE4D6"/>
        <bgColor rgb="FFFFE8CC"/>
      </patternFill>
    </fill>
    <fill>
      <patternFill patternType="solid">
        <fgColor rgb="FFDAEEF3"/>
        <bgColor rgb="FFD6E4F0"/>
      </patternFill>
    </fill>
    <fill>
      <patternFill patternType="solid">
        <fgColor rgb="FFF2CEEF"/>
        <bgColor rgb="FFE4C8FF"/>
      </patternFill>
    </fill>
    <fill>
      <patternFill patternType="solid">
        <fgColor rgb="FF1F4E7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3E8FF"/>
        <bgColor rgb="FFF2F2F2"/>
      </patternFill>
    </fill>
    <fill>
      <patternFill patternType="solid">
        <fgColor rgb="FFF8AEF6"/>
        <bgColor indexed="64"/>
      </patternFill>
    </fill>
    <fill>
      <patternFill patternType="solid">
        <fgColor rgb="FFF3E8FF"/>
        <bgColor rgb="FFF3E8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2CC"/>
      </patternFill>
    </fill>
    <fill>
      <patternFill patternType="solid">
        <fgColor rgb="FFDCE6F1"/>
      </patternFill>
    </fill>
    <fill>
      <patternFill patternType="solid">
        <fgColor rgb="FF0070C0"/>
      </patternFill>
    </fill>
    <fill>
      <patternFill patternType="solid">
        <fgColor rgb="FFF2EFB4"/>
        <bgColor indexed="64"/>
      </patternFill>
    </fill>
    <fill>
      <patternFill patternType="solid">
        <fgColor rgb="FFF6B0C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7" fillId="8" borderId="0">
      <alignment vertical="center"/>
    </xf>
    <xf numFmtId="0" fontId="20" fillId="0" borderId="0"/>
  </cellStyleXfs>
  <cellXfs count="102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0" fillId="2" borderId="0" xfId="0" applyFill="1" applyAlignment="1"/>
    <xf numFmtId="0" fontId="0" fillId="4" borderId="0" xfId="0" applyFill="1" applyAlignment="1"/>
    <xf numFmtId="0" fontId="2" fillId="3" borderId="1" xfId="0" applyFont="1" applyFill="1" applyBorder="1" applyAlignment="1">
      <alignment horizontal="center" vertical="top"/>
    </xf>
    <xf numFmtId="0" fontId="3" fillId="3" borderId="0" xfId="0" applyFont="1" applyFill="1" applyAlignment="1"/>
    <xf numFmtId="0" fontId="3" fillId="0" borderId="0" xfId="0" applyFont="1" applyAlignment="1"/>
    <xf numFmtId="0" fontId="3" fillId="6" borderId="0" xfId="0" applyFont="1" applyFill="1" applyAlignment="1"/>
    <xf numFmtId="0" fontId="4" fillId="7" borderId="0" xfId="1" applyFont="1" applyFill="1" applyAlignment="1"/>
    <xf numFmtId="0" fontId="0" fillId="8" borderId="0" xfId="0" applyFill="1" applyAlignment="1"/>
    <xf numFmtId="0" fontId="5" fillId="8" borderId="0" xfId="0" applyFont="1" applyFill="1" applyAlignment="1"/>
    <xf numFmtId="0" fontId="0" fillId="8" borderId="3" xfId="0" applyFill="1" applyBorder="1" applyAlignment="1"/>
    <xf numFmtId="0" fontId="0" fillId="8" borderId="4" xfId="0" applyFill="1" applyBorder="1" applyAlignment="1"/>
    <xf numFmtId="0" fontId="0" fillId="8" borderId="5" xfId="0" applyFill="1" applyBorder="1" applyAlignment="1"/>
    <xf numFmtId="0" fontId="6" fillId="9" borderId="1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6" fillId="10" borderId="1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6" fillId="11" borderId="7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2" borderId="6" xfId="0" applyFont="1" applyFill="1" applyBorder="1" applyAlignment="1">
      <alignment horizontal="center" vertical="center" wrapText="1"/>
    </xf>
    <xf numFmtId="0" fontId="6" fillId="12" borderId="7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3" borderId="6" xfId="0" applyFont="1" applyFill="1" applyBorder="1" applyAlignment="1">
      <alignment horizontal="center" vertical="center" wrapText="1"/>
    </xf>
    <xf numFmtId="0" fontId="6" fillId="13" borderId="7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6" fillId="14" borderId="7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top"/>
    </xf>
    <xf numFmtId="0" fontId="1" fillId="15" borderId="1" xfId="0" applyFont="1" applyFill="1" applyBorder="1" applyAlignment="1">
      <alignment horizontal="center" vertical="top"/>
    </xf>
    <xf numFmtId="0" fontId="6" fillId="16" borderId="7" xfId="0" applyFont="1" applyFill="1" applyBorder="1" applyAlignment="1">
      <alignment horizontal="center" vertical="center" wrapText="1"/>
    </xf>
    <xf numFmtId="0" fontId="0" fillId="15" borderId="1" xfId="0" applyFill="1" applyBorder="1">
      <alignment vertical="center"/>
    </xf>
    <xf numFmtId="0" fontId="3" fillId="0" borderId="0" xfId="0" applyFont="1">
      <alignment vertical="center"/>
    </xf>
    <xf numFmtId="0" fontId="8" fillId="0" borderId="8" xfId="0" applyFont="1" applyBorder="1" applyAlignment="1">
      <alignment wrapText="1"/>
    </xf>
    <xf numFmtId="0" fontId="8" fillId="0" borderId="8" xfId="0" applyFont="1" applyBorder="1">
      <alignment vertical="center"/>
    </xf>
    <xf numFmtId="0" fontId="9" fillId="0" borderId="0" xfId="0" applyFont="1" applyAlignment="1"/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1" fillId="17" borderId="9" xfId="0" applyFont="1" applyFill="1" applyBorder="1" applyAlignment="1">
      <alignment horizontal="center" vertical="top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18" borderId="7" xfId="0" applyFont="1" applyFill="1" applyBorder="1" applyAlignment="1">
      <alignment horizontal="center" vertical="center" wrapText="1"/>
    </xf>
    <xf numFmtId="0" fontId="14" fillId="19" borderId="7" xfId="0" applyFont="1" applyFill="1" applyBorder="1" applyAlignment="1">
      <alignment horizontal="center" vertical="center" wrapText="1"/>
    </xf>
    <xf numFmtId="0" fontId="14" fillId="20" borderId="7" xfId="0" applyFont="1" applyFill="1" applyBorder="1" applyAlignment="1">
      <alignment horizontal="center" vertical="center" wrapText="1"/>
    </xf>
    <xf numFmtId="0" fontId="14" fillId="21" borderId="7" xfId="0" applyFont="1" applyFill="1" applyBorder="1" applyAlignment="1">
      <alignment horizontal="center" vertical="center" wrapText="1"/>
    </xf>
    <xf numFmtId="0" fontId="14" fillId="22" borderId="7" xfId="0" applyFont="1" applyFill="1" applyBorder="1" applyAlignment="1">
      <alignment horizontal="center" vertical="center" wrapText="1"/>
    </xf>
    <xf numFmtId="0" fontId="14" fillId="23" borderId="7" xfId="0" applyFont="1" applyFill="1" applyBorder="1" applyAlignment="1">
      <alignment horizontal="center" vertical="center" wrapText="1"/>
    </xf>
    <xf numFmtId="0" fontId="15" fillId="24" borderId="10" xfId="0" applyFont="1" applyFill="1" applyBorder="1" applyAlignment="1">
      <alignment horizontal="center" vertical="center" wrapText="1"/>
    </xf>
    <xf numFmtId="0" fontId="16" fillId="25" borderId="10" xfId="0" applyFont="1" applyFill="1" applyBorder="1" applyAlignment="1">
      <alignment horizontal="center" vertical="center"/>
    </xf>
    <xf numFmtId="0" fontId="16" fillId="26" borderId="10" xfId="0" applyFont="1" applyFill="1" applyBorder="1" applyAlignment="1">
      <alignment horizontal="center" vertical="center"/>
    </xf>
    <xf numFmtId="0" fontId="16" fillId="27" borderId="10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top"/>
    </xf>
    <xf numFmtId="176" fontId="18" fillId="28" borderId="0" xfId="0" applyNumberFormat="1" applyFont="1" applyFill="1" applyAlignment="1">
      <alignment horizontal="center" vertical="center" wrapText="1"/>
    </xf>
    <xf numFmtId="0" fontId="19" fillId="0" borderId="0" xfId="0" applyFont="1" applyAlignment="1"/>
    <xf numFmtId="0" fontId="20" fillId="0" borderId="0" xfId="2"/>
    <xf numFmtId="177" fontId="18" fillId="28" borderId="0" xfId="0" applyNumberFormat="1" applyFont="1" applyFill="1" applyAlignment="1">
      <alignment horizontal="center" vertical="center" wrapText="1"/>
    </xf>
    <xf numFmtId="0" fontId="21" fillId="0" borderId="1" xfId="0" applyFont="1" applyBorder="1" applyAlignment="1">
      <alignment horizontal="center" vertical="top"/>
    </xf>
    <xf numFmtId="0" fontId="0" fillId="17" borderId="0" xfId="0" applyFill="1" applyAlignment="1"/>
    <xf numFmtId="0" fontId="0" fillId="29" borderId="0" xfId="0" applyFill="1" applyAlignment="1"/>
    <xf numFmtId="0" fontId="1" fillId="29" borderId="9" xfId="0" applyFont="1" applyFill="1" applyBorder="1" applyAlignment="1">
      <alignment horizontal="center" vertical="top"/>
    </xf>
    <xf numFmtId="0" fontId="17" fillId="29" borderId="1" xfId="0" applyFont="1" applyFill="1" applyBorder="1" applyAlignment="1">
      <alignment horizontal="center" vertical="top"/>
    </xf>
    <xf numFmtId="0" fontId="1" fillId="17" borderId="1" xfId="0" applyFont="1" applyFill="1" applyBorder="1" applyAlignment="1">
      <alignment horizontal="center" vertical="top"/>
    </xf>
    <xf numFmtId="0" fontId="7" fillId="7" borderId="0" xfId="1" applyFill="1" applyAlignment="1"/>
    <xf numFmtId="0" fontId="22" fillId="30" borderId="11" xfId="0" applyFont="1" applyFill="1" applyBorder="1" applyAlignment="1">
      <alignment horizontal="center" vertical="center" wrapText="1"/>
    </xf>
    <xf numFmtId="0" fontId="0" fillId="31" borderId="0" xfId="0" applyFill="1" applyAlignment="1"/>
    <xf numFmtId="0" fontId="3" fillId="31" borderId="0" xfId="0" applyFont="1" applyFill="1" applyAlignment="1"/>
    <xf numFmtId="0" fontId="0" fillId="32" borderId="0" xfId="0" applyFill="1" applyAlignment="1"/>
    <xf numFmtId="0" fontId="23" fillId="0" borderId="0" xfId="0" applyFont="1" applyAlignment="1"/>
    <xf numFmtId="0" fontId="23" fillId="0" borderId="0" xfId="0" applyFont="1">
      <alignment vertical="center"/>
    </xf>
    <xf numFmtId="0" fontId="0" fillId="33" borderId="0" xfId="0" applyFill="1" applyAlignment="1"/>
    <xf numFmtId="0" fontId="24" fillId="11" borderId="1" xfId="0" applyFont="1" applyFill="1" applyBorder="1" applyAlignment="1">
      <alignment horizontal="center" vertical="center" wrapText="1"/>
    </xf>
    <xf numFmtId="0" fontId="24" fillId="23" borderId="7" xfId="0" applyFont="1" applyFill="1" applyBorder="1" applyAlignment="1">
      <alignment horizontal="center" vertical="center" wrapText="1"/>
    </xf>
    <xf numFmtId="0" fontId="3" fillId="5" borderId="0" xfId="0" applyFont="1" applyFill="1" applyAlignment="1"/>
    <xf numFmtId="0" fontId="9" fillId="0" borderId="0" xfId="0" applyFont="1" applyAlignment="1">
      <alignment horizontal="right"/>
    </xf>
    <xf numFmtId="0" fontId="0" fillId="34" borderId="0" xfId="0" applyFill="1">
      <alignment vertical="center"/>
    </xf>
    <xf numFmtId="0" fontId="0" fillId="34" borderId="0" xfId="0" applyFill="1" applyAlignment="1"/>
    <xf numFmtId="0" fontId="0" fillId="29" borderId="0" xfId="0" applyFill="1">
      <alignment vertical="center"/>
    </xf>
    <xf numFmtId="0" fontId="4" fillId="0" borderId="0" xfId="0" applyFont="1" applyAlignment="1"/>
    <xf numFmtId="0" fontId="26" fillId="35" borderId="0" xfId="0" applyFont="1" applyFill="1" applyAlignment="1">
      <alignment horizontal="center" vertical="center"/>
    </xf>
    <xf numFmtId="0" fontId="27" fillId="36" borderId="0" xfId="0" applyFont="1" applyFill="1" applyAlignment="1">
      <alignment horizontal="center" vertical="center"/>
    </xf>
    <xf numFmtId="178" fontId="27" fillId="36" borderId="0" xfId="0" applyNumberFormat="1" applyFont="1" applyFill="1" applyAlignment="1">
      <alignment horizontal="center" vertical="center"/>
    </xf>
    <xf numFmtId="0" fontId="20" fillId="0" borderId="0" xfId="2" applyAlignment="1">
      <alignment vertical="center"/>
    </xf>
    <xf numFmtId="0" fontId="20" fillId="37" borderId="0" xfId="2" applyFill="1" applyAlignment="1">
      <alignment vertical="center"/>
    </xf>
    <xf numFmtId="0" fontId="1" fillId="4" borderId="1" xfId="0" applyFont="1" applyFill="1" applyBorder="1" applyAlignment="1">
      <alignment horizontal="center" vertical="top"/>
    </xf>
    <xf numFmtId="0" fontId="28" fillId="4" borderId="0" xfId="2" applyFont="1" applyFill="1" applyAlignment="1">
      <alignment vertical="center"/>
    </xf>
    <xf numFmtId="0" fontId="29" fillId="4" borderId="0" xfId="2" applyFont="1" applyFill="1" applyAlignment="1">
      <alignment vertical="center"/>
    </xf>
    <xf numFmtId="179" fontId="27" fillId="36" borderId="0" xfId="0" applyNumberFormat="1" applyFont="1" applyFill="1" applyAlignment="1">
      <alignment horizontal="center" vertical="center"/>
    </xf>
    <xf numFmtId="0" fontId="4" fillId="0" borderId="0" xfId="0" applyFont="1">
      <alignment vertical="center"/>
    </xf>
    <xf numFmtId="0" fontId="0" fillId="15" borderId="0" xfId="0" applyFill="1" applyAlignment="1"/>
    <xf numFmtId="0" fontId="1" fillId="38" borderId="1" xfId="0" applyFont="1" applyFill="1" applyBorder="1" applyAlignment="1">
      <alignment horizontal="center" vertical="top"/>
    </xf>
    <xf numFmtId="0" fontId="0" fillId="38" borderId="0" xfId="0" applyFill="1">
      <alignment vertical="center"/>
    </xf>
    <xf numFmtId="0" fontId="1" fillId="39" borderId="1" xfId="0" applyFont="1" applyFill="1" applyBorder="1" applyAlignment="1">
      <alignment horizontal="center" vertical="top"/>
    </xf>
    <xf numFmtId="0" fontId="0" fillId="39" borderId="0" xfId="0" applyFill="1">
      <alignment vertical="center"/>
    </xf>
  </cellXfs>
  <cellStyles count="3">
    <cellStyle name="20% - 着色 6" xfId="1" builtinId="50"/>
    <cellStyle name="常规" xfId="0" builtinId="0"/>
    <cellStyle name="常规 2" xfId="2" xr:uid="{00000000-0005-0000-0000-00000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6B0C2"/>
      <color rgb="FFF2EF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888669</xdr:colOff>
      <xdr:row>11</xdr:row>
      <xdr:rowOff>171785</xdr:rowOff>
    </xdr:from>
    <xdr:to>
      <xdr:col>22</xdr:col>
      <xdr:colOff>1243279</xdr:colOff>
      <xdr:row>20</xdr:row>
      <xdr:rowOff>37647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44853" y="2101851"/>
          <a:ext cx="2854923" cy="144500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21</xdr:col>
      <xdr:colOff>931884</xdr:colOff>
      <xdr:row>16</xdr:row>
      <xdr:rowOff>14076</xdr:rowOff>
    </xdr:from>
    <xdr:to>
      <xdr:col>22</xdr:col>
      <xdr:colOff>874156</xdr:colOff>
      <xdr:row>24</xdr:row>
      <xdr:rowOff>5772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62403" y="2916933"/>
          <a:ext cx="2605974" cy="14431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21</xdr:col>
      <xdr:colOff>1006104</xdr:colOff>
      <xdr:row>23</xdr:row>
      <xdr:rowOff>115456</xdr:rowOff>
    </xdr:from>
    <xdr:to>
      <xdr:col>23</xdr:col>
      <xdr:colOff>312110</xdr:colOff>
      <xdr:row>39</xdr:row>
      <xdr:rowOff>2817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879805" y="4288313"/>
          <a:ext cx="4633409" cy="277915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21</xdr:col>
      <xdr:colOff>700974</xdr:colOff>
      <xdr:row>39</xdr:row>
      <xdr:rowOff>16494</xdr:rowOff>
    </xdr:from>
    <xdr:to>
      <xdr:col>23</xdr:col>
      <xdr:colOff>197922</xdr:colOff>
      <xdr:row>54</xdr:row>
      <xdr:rowOff>482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791234" y="7092208"/>
          <a:ext cx="4824351" cy="269435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21</xdr:col>
      <xdr:colOff>569026</xdr:colOff>
      <xdr:row>54</xdr:row>
      <xdr:rowOff>57728</xdr:rowOff>
    </xdr:from>
    <xdr:to>
      <xdr:col>23</xdr:col>
      <xdr:colOff>109196</xdr:colOff>
      <xdr:row>70</xdr:row>
      <xdr:rowOff>24741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659286" y="9854871"/>
          <a:ext cx="4867573" cy="28698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21</xdr:col>
      <xdr:colOff>437079</xdr:colOff>
      <xdr:row>70</xdr:row>
      <xdr:rowOff>90715</xdr:rowOff>
    </xdr:from>
    <xdr:to>
      <xdr:col>23</xdr:col>
      <xdr:colOff>57728</xdr:colOff>
      <xdr:row>85</xdr:row>
      <xdr:rowOff>143194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757923" y="12790715"/>
          <a:ext cx="4948052" cy="27893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21</xdr:col>
      <xdr:colOff>585520</xdr:colOff>
      <xdr:row>86</xdr:row>
      <xdr:rowOff>115455</xdr:rowOff>
    </xdr:from>
    <xdr:to>
      <xdr:col>23</xdr:col>
      <xdr:colOff>459034</xdr:colOff>
      <xdr:row>101</xdr:row>
      <xdr:rowOff>105615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906364" y="15718312"/>
          <a:ext cx="5200917" cy="271158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17</xdr:col>
      <xdr:colOff>3842988</xdr:colOff>
      <xdr:row>91</xdr:row>
      <xdr:rowOff>107209</xdr:rowOff>
    </xdr:from>
    <xdr:to>
      <xdr:col>18</xdr:col>
      <xdr:colOff>2452408</xdr:colOff>
      <xdr:row>95</xdr:row>
      <xdr:rowOff>54630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269546" y="16617209"/>
          <a:ext cx="2971953" cy="6731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17</xdr:col>
      <xdr:colOff>296884</xdr:colOff>
      <xdr:row>132</xdr:row>
      <xdr:rowOff>123702</xdr:rowOff>
    </xdr:from>
    <xdr:to>
      <xdr:col>17</xdr:col>
      <xdr:colOff>1922568</xdr:colOff>
      <xdr:row>138</xdr:row>
      <xdr:rowOff>178189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723442" y="24072273"/>
          <a:ext cx="1625684" cy="114305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21</xdr:col>
      <xdr:colOff>164935</xdr:colOff>
      <xdr:row>1</xdr:row>
      <xdr:rowOff>16494</xdr:rowOff>
    </xdr:from>
    <xdr:to>
      <xdr:col>21</xdr:col>
      <xdr:colOff>2019230</xdr:colOff>
      <xdr:row>5</xdr:row>
      <xdr:rowOff>40119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848312" y="197923"/>
          <a:ext cx="1854295" cy="74933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33"/>
  <sheetViews>
    <sheetView tabSelected="1" topLeftCell="A142" zoomScale="70" zoomScaleNormal="70" workbookViewId="0">
      <pane xSplit="1" topLeftCell="Q1" activePane="topRight" state="frozen"/>
      <selection activeCell="A61" sqref="A61"/>
      <selection pane="topRight" activeCell="U231" sqref="U231"/>
    </sheetView>
  </sheetViews>
  <sheetFormatPr defaultRowHeight="13.9" x14ac:dyDescent="0.4"/>
  <cols>
    <col min="1" max="1" width="20.265625" style="1" customWidth="1"/>
    <col min="2" max="2" width="19.6640625" style="1" customWidth="1"/>
    <col min="3" max="3" width="18.33203125" style="1" customWidth="1"/>
    <col min="4" max="4" width="22.6640625" style="1" customWidth="1"/>
    <col min="5" max="5" width="21.265625" style="1" customWidth="1"/>
    <col min="6" max="6" width="14.796875" style="1" customWidth="1"/>
    <col min="7" max="7" width="15.06640625" style="1" customWidth="1"/>
    <col min="8" max="8" width="17.33203125" style="1" customWidth="1"/>
    <col min="9" max="9" width="13.6640625" style="1" customWidth="1"/>
    <col min="10" max="10" width="27.265625" style="1" customWidth="1"/>
    <col min="11" max="11" width="36.06640625" style="1" customWidth="1"/>
    <col min="12" max="12" width="23.3984375" style="1" customWidth="1"/>
    <col min="13" max="13" width="14.796875" style="1" customWidth="1"/>
    <col min="14" max="15" width="19.33203125" style="1" customWidth="1"/>
    <col min="16" max="17" width="35" style="1" customWidth="1"/>
    <col min="18" max="18" width="57.265625" style="1" customWidth="1"/>
    <col min="19" max="21" width="45.265625" style="1" customWidth="1"/>
    <col min="22" max="24" width="35" style="1" customWidth="1"/>
    <col min="25" max="25" width="27.46484375" style="1" hidden="1" customWidth="1"/>
    <col min="26" max="26" width="18.796875" style="1" hidden="1" customWidth="1"/>
    <col min="27" max="27" width="11.1328125" style="1" hidden="1" customWidth="1"/>
    <col min="28" max="28" width="23.796875" style="1" hidden="1" customWidth="1"/>
    <col min="29" max="29" width="15.46484375" style="1" hidden="1" customWidth="1"/>
    <col min="30" max="30" width="8.6640625" style="1" hidden="1" customWidth="1"/>
    <col min="31" max="31" width="38.33203125" style="1" customWidth="1"/>
    <col min="32" max="32" width="29.796875" style="1" customWidth="1"/>
    <col min="33" max="33" width="21.19921875" style="1" customWidth="1"/>
    <col min="34" max="34" width="17.6640625" style="1" customWidth="1"/>
    <col min="35" max="35" width="14.59765625" style="1" customWidth="1"/>
    <col min="36" max="36" width="16.86328125" style="1" customWidth="1"/>
    <col min="37" max="37" width="38.265625" style="1" customWidth="1"/>
    <col min="38" max="38" width="23.53125" customWidth="1"/>
    <col min="39" max="39" width="22.33203125" style="1" customWidth="1"/>
    <col min="40" max="40" width="39.1328125" customWidth="1"/>
    <col min="41" max="41" width="19.1328125" customWidth="1"/>
  </cols>
  <sheetData>
    <row r="1" spans="1:39" x14ac:dyDescent="0.4">
      <c r="A1" s="2" t="str">
        <f t="array" aca="1" ref="A1" ca="1">+U1+A1:L1+A1:K1+A1:A1:K3</f>
        <v/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60" t="s">
        <v>13</v>
      </c>
      <c r="P1" s="70" t="s">
        <v>14</v>
      </c>
      <c r="Q1" s="70" t="s">
        <v>15</v>
      </c>
      <c r="R1" s="70" t="s">
        <v>16</v>
      </c>
      <c r="S1" s="70" t="s">
        <v>17</v>
      </c>
      <c r="T1" s="70" t="s">
        <v>18</v>
      </c>
      <c r="U1" s="70" t="s">
        <v>19</v>
      </c>
      <c r="V1" s="70"/>
      <c r="W1" s="70"/>
      <c r="X1" s="70"/>
      <c r="Y1" s="66" t="s">
        <v>20</v>
      </c>
      <c r="Z1" s="46" t="s">
        <v>21</v>
      </c>
      <c r="AA1" s="46" t="s">
        <v>22</v>
      </c>
      <c r="AB1" s="46" t="s">
        <v>23</v>
      </c>
      <c r="AC1" s="46" t="s">
        <v>24</v>
      </c>
      <c r="AD1">
        <f>AA97-AA35</f>
        <v>2.9658201779318305</v>
      </c>
      <c r="AE1" s="69" t="s">
        <v>25</v>
      </c>
      <c r="AF1" s="85" t="s">
        <v>15</v>
      </c>
      <c r="AG1" s="67" t="s">
        <v>16</v>
      </c>
      <c r="AH1" s="68" t="s">
        <v>17</v>
      </c>
      <c r="AI1" s="68" t="s">
        <v>18</v>
      </c>
      <c r="AJ1" s="68" t="s">
        <v>26</v>
      </c>
      <c r="AK1" s="68"/>
    </row>
    <row r="2" spans="1:39" x14ac:dyDescent="0.4">
      <c r="A2">
        <v>1</v>
      </c>
      <c r="B2" t="s">
        <v>27</v>
      </c>
      <c r="C2">
        <v>25</v>
      </c>
      <c r="D2" t="s">
        <v>28</v>
      </c>
      <c r="E2">
        <v>25</v>
      </c>
      <c r="F2" t="s">
        <v>29</v>
      </c>
      <c r="G2">
        <v>10</v>
      </c>
      <c r="H2">
        <v>38.5</v>
      </c>
      <c r="I2" s="4" t="s">
        <v>30</v>
      </c>
      <c r="J2">
        <v>1.5</v>
      </c>
      <c r="K2">
        <v>50</v>
      </c>
      <c r="L2">
        <v>144.5</v>
      </c>
      <c r="M2">
        <v>0.12540000000000001</v>
      </c>
      <c r="N2">
        <v>-1.111</v>
      </c>
      <c r="O2">
        <v>5.73</v>
      </c>
      <c r="P2">
        <v>21613.333333333299</v>
      </c>
      <c r="Q2">
        <f t="shared" ref="Q2:Q33" si="0">LOG10(P2)</f>
        <v>4.3347217514568142</v>
      </c>
      <c r="S2">
        <f t="shared" ref="S2:S37" si="1">Q2+0.072429496</f>
        <v>4.407151247456814</v>
      </c>
      <c r="T2">
        <f t="shared" ref="T2:T37" si="2">S2-3.84709241853782</f>
        <v>0.56005882891899406</v>
      </c>
      <c r="U2">
        <f t="shared" ref="U2:U33" si="3">T2/3.19243708</f>
        <v>0.17543300459315367</v>
      </c>
      <c r="Y2">
        <v>2.78797528445681</v>
      </c>
      <c r="Z2">
        <v>3.8753506961317101</v>
      </c>
      <c r="AA2">
        <f t="shared" ref="AA2:AA37" si="4">Y2-Z2</f>
        <v>-1.0873754116749001</v>
      </c>
      <c r="AB2">
        <f t="shared" ref="AB2:AB34" si="5">AA2+1.64743</f>
        <v>0.5600545883250998</v>
      </c>
      <c r="AC2">
        <f t="shared" ref="AC2:AC34" si="6">AB2/2.96582</f>
        <v>0.18883633812068831</v>
      </c>
      <c r="AE2">
        <v>9713</v>
      </c>
      <c r="AF2">
        <f t="shared" ref="AF2:AF37" si="7">LOG10(AE2)</f>
        <v>3.9873533887357935</v>
      </c>
      <c r="AH2">
        <f t="shared" ref="AH2:AH37" si="8">AF2-0.295981467562082</f>
        <v>3.6913719211737117</v>
      </c>
      <c r="AI2">
        <f t="shared" ref="AI2:AI37" si="9">AH2-3.17446634693745</f>
        <v>0.5169055742362616</v>
      </c>
      <c r="AJ2">
        <f t="shared" ref="AJ2:AJ37" si="10">AI2/2.53450552095595</f>
        <v>0.20394730647155906</v>
      </c>
    </row>
    <row r="3" spans="1:39" x14ac:dyDescent="0.4">
      <c r="A3">
        <v>2</v>
      </c>
      <c r="B3" t="s">
        <v>27</v>
      </c>
      <c r="C3">
        <v>33</v>
      </c>
      <c r="D3" t="s">
        <v>31</v>
      </c>
      <c r="E3">
        <v>33</v>
      </c>
      <c r="F3" t="s">
        <v>32</v>
      </c>
      <c r="G3">
        <v>30</v>
      </c>
      <c r="H3">
        <v>0</v>
      </c>
      <c r="I3" s="4" t="s">
        <v>30</v>
      </c>
      <c r="J3">
        <v>4</v>
      </c>
      <c r="K3">
        <v>66</v>
      </c>
      <c r="L3">
        <v>132.19999999999999</v>
      </c>
      <c r="M3">
        <v>0.7</v>
      </c>
      <c r="N3">
        <v>-2.0419999999999998</v>
      </c>
      <c r="O3">
        <v>5.68</v>
      </c>
      <c r="P3">
        <v>8090</v>
      </c>
      <c r="Q3">
        <f>LOG10(P3)</f>
        <v>3.9079485216122722</v>
      </c>
      <c r="S3">
        <f t="shared" si="1"/>
        <v>3.9803780176122721</v>
      </c>
      <c r="T3">
        <f t="shared" si="2"/>
        <v>0.13328559907445214</v>
      </c>
      <c r="U3">
        <f t="shared" si="3"/>
        <v>4.1750423182796807E-2</v>
      </c>
      <c r="Y3">
        <v>2.3612020546122698</v>
      </c>
      <c r="Z3">
        <v>3.8753506961317101</v>
      </c>
      <c r="AA3">
        <f t="shared" si="4"/>
        <v>-1.5141486415194403</v>
      </c>
      <c r="AB3">
        <f t="shared" si="5"/>
        <v>0.13328135848055966</v>
      </c>
      <c r="AC3">
        <f t="shared" si="6"/>
        <v>4.4939125935006055E-2</v>
      </c>
      <c r="AE3">
        <v>13292.666666666701</v>
      </c>
      <c r="AF3">
        <f t="shared" si="7"/>
        <v>4.1236121143095108</v>
      </c>
      <c r="AH3">
        <f t="shared" si="8"/>
        <v>3.827630646747429</v>
      </c>
      <c r="AI3">
        <f t="shared" si="9"/>
        <v>0.65316429980997892</v>
      </c>
      <c r="AJ3">
        <f t="shared" si="10"/>
        <v>0.25770876978150048</v>
      </c>
    </row>
    <row r="4" spans="1:39" x14ac:dyDescent="0.4">
      <c r="A4">
        <v>3</v>
      </c>
      <c r="B4" t="s">
        <v>33</v>
      </c>
      <c r="C4">
        <v>29</v>
      </c>
      <c r="D4" t="s">
        <v>34</v>
      </c>
      <c r="E4">
        <v>29</v>
      </c>
      <c r="F4" t="s">
        <v>32</v>
      </c>
      <c r="G4">
        <v>20</v>
      </c>
      <c r="H4">
        <v>19.25</v>
      </c>
      <c r="I4" s="4" t="s">
        <v>30</v>
      </c>
      <c r="J4">
        <v>2.75</v>
      </c>
      <c r="K4">
        <v>58</v>
      </c>
      <c r="L4">
        <v>146.5</v>
      </c>
      <c r="M4">
        <v>0.2712</v>
      </c>
      <c r="N4">
        <v>0.32</v>
      </c>
      <c r="O4">
        <v>5.13</v>
      </c>
      <c r="P4">
        <v>36993.333333333299</v>
      </c>
      <c r="Q4">
        <f t="shared" si="0"/>
        <v>4.5681234657584842</v>
      </c>
      <c r="S4">
        <f t="shared" si="1"/>
        <v>4.640552961758484</v>
      </c>
      <c r="T4">
        <f t="shared" si="2"/>
        <v>0.79346054322066406</v>
      </c>
      <c r="U4">
        <f t="shared" si="3"/>
        <v>0.24854383135427813</v>
      </c>
      <c r="V4" s="5"/>
      <c r="W4" s="5"/>
      <c r="X4" s="5"/>
      <c r="Y4">
        <v>3.02137699875848</v>
      </c>
      <c r="Z4">
        <v>3.8753506961317101</v>
      </c>
      <c r="AA4">
        <f t="shared" si="4"/>
        <v>-0.85397369737323015</v>
      </c>
      <c r="AB4">
        <f t="shared" si="5"/>
        <v>0.7934563026267698</v>
      </c>
      <c r="AC4">
        <f t="shared" si="6"/>
        <v>0.26753353292740956</v>
      </c>
      <c r="AE4" s="5">
        <v>187966.66666666701</v>
      </c>
      <c r="AF4">
        <f t="shared" si="7"/>
        <v>5.2740808398686916</v>
      </c>
      <c r="AH4">
        <f t="shared" si="8"/>
        <v>4.9780993723066098</v>
      </c>
      <c r="AI4">
        <f t="shared" si="9"/>
        <v>1.8036330253691597</v>
      </c>
      <c r="AJ4">
        <f t="shared" si="10"/>
        <v>0.71163112901362935</v>
      </c>
    </row>
    <row r="5" spans="1:39" x14ac:dyDescent="0.4">
      <c r="A5">
        <v>4</v>
      </c>
      <c r="B5" t="s">
        <v>27</v>
      </c>
      <c r="C5">
        <v>25</v>
      </c>
      <c r="D5" t="s">
        <v>27</v>
      </c>
      <c r="E5">
        <v>25</v>
      </c>
      <c r="F5" t="s">
        <v>29</v>
      </c>
      <c r="G5">
        <v>10</v>
      </c>
      <c r="H5">
        <v>38.5</v>
      </c>
      <c r="I5" s="4" t="s">
        <v>30</v>
      </c>
      <c r="J5">
        <v>1.5</v>
      </c>
      <c r="K5">
        <v>50</v>
      </c>
      <c r="L5">
        <v>108.2</v>
      </c>
      <c r="M5">
        <v>0.28670000000000001</v>
      </c>
      <c r="N5">
        <v>-11.08</v>
      </c>
      <c r="O5">
        <v>5.78</v>
      </c>
      <c r="P5">
        <v>31116.666666666701</v>
      </c>
      <c r="Q5">
        <f t="shared" si="0"/>
        <v>4.4929930675654353</v>
      </c>
      <c r="S5">
        <f t="shared" si="1"/>
        <v>4.5654225635654351</v>
      </c>
      <c r="T5">
        <f t="shared" si="2"/>
        <v>0.71833014502761516</v>
      </c>
      <c r="U5">
        <f t="shared" si="3"/>
        <v>0.22500996167718212</v>
      </c>
      <c r="Y5">
        <v>2.9462466005654302</v>
      </c>
      <c r="Z5">
        <v>3.8753506961317101</v>
      </c>
      <c r="AA5">
        <f t="shared" si="4"/>
        <v>-0.92910409556627993</v>
      </c>
      <c r="AB5">
        <f t="shared" si="5"/>
        <v>0.71832590443372002</v>
      </c>
      <c r="AC5">
        <f t="shared" si="6"/>
        <v>0.24220144999821974</v>
      </c>
      <c r="AE5">
        <v>21275.666666666701</v>
      </c>
      <c r="AF5">
        <f t="shared" si="7"/>
        <v>4.327883177457843</v>
      </c>
      <c r="AH5">
        <f t="shared" si="8"/>
        <v>4.0319017098957612</v>
      </c>
      <c r="AI5">
        <f t="shared" si="9"/>
        <v>0.85743536295831113</v>
      </c>
      <c r="AJ5">
        <f t="shared" si="10"/>
        <v>0.33830479194809904</v>
      </c>
    </row>
    <row r="6" spans="1:39" x14ac:dyDescent="0.4">
      <c r="A6">
        <v>5</v>
      </c>
      <c r="B6" t="s">
        <v>27</v>
      </c>
      <c r="C6">
        <v>29</v>
      </c>
      <c r="D6" t="s">
        <v>35</v>
      </c>
      <c r="E6">
        <v>29</v>
      </c>
      <c r="F6" t="s">
        <v>29</v>
      </c>
      <c r="G6">
        <v>20</v>
      </c>
      <c r="H6">
        <v>19.25</v>
      </c>
      <c r="I6" s="4" t="s">
        <v>30</v>
      </c>
      <c r="J6">
        <v>2.75</v>
      </c>
      <c r="K6">
        <v>58</v>
      </c>
      <c r="L6">
        <v>117.8</v>
      </c>
      <c r="M6">
        <v>0.2462</v>
      </c>
      <c r="N6">
        <v>-4.4909999999999997</v>
      </c>
      <c r="O6">
        <v>5.9</v>
      </c>
      <c r="P6">
        <v>39526.666666666701</v>
      </c>
      <c r="Q6">
        <f t="shared" si="0"/>
        <v>4.5968901912892832</v>
      </c>
      <c r="R6">
        <v>7.242949564937895E-2</v>
      </c>
      <c r="S6">
        <f t="shared" si="1"/>
        <v>4.669319687289283</v>
      </c>
      <c r="T6">
        <f t="shared" si="2"/>
        <v>0.82222726875146313</v>
      </c>
      <c r="U6">
        <f t="shared" si="3"/>
        <v>0.25755472955208975</v>
      </c>
      <c r="Y6">
        <v>3.0501437242892799</v>
      </c>
      <c r="Z6">
        <v>3.8753506961317101</v>
      </c>
      <c r="AA6">
        <f t="shared" si="4"/>
        <v>-0.82520697184243019</v>
      </c>
      <c r="AB6">
        <f t="shared" si="5"/>
        <v>0.82222302815756976</v>
      </c>
      <c r="AC6">
        <f t="shared" si="6"/>
        <v>0.27723295013101595</v>
      </c>
      <c r="AE6">
        <v>39340</v>
      </c>
      <c r="AF6">
        <f t="shared" si="7"/>
        <v>4.594834355583318</v>
      </c>
      <c r="AH6">
        <f t="shared" si="8"/>
        <v>4.2988528880212362</v>
      </c>
      <c r="AI6">
        <f t="shared" si="9"/>
        <v>1.1243865410837861</v>
      </c>
      <c r="AJ6">
        <f t="shared" si="10"/>
        <v>0.44363152172566445</v>
      </c>
      <c r="AM6">
        <v>3.24550224127952</v>
      </c>
    </row>
    <row r="7" spans="1:39" x14ac:dyDescent="0.4">
      <c r="A7">
        <v>6</v>
      </c>
      <c r="B7" t="s">
        <v>31</v>
      </c>
      <c r="C7">
        <v>33</v>
      </c>
      <c r="D7" t="s">
        <v>31</v>
      </c>
      <c r="E7">
        <v>33</v>
      </c>
      <c r="F7" t="s">
        <v>32</v>
      </c>
      <c r="G7">
        <v>30</v>
      </c>
      <c r="H7">
        <v>0</v>
      </c>
      <c r="I7" s="4" t="s">
        <v>30</v>
      </c>
      <c r="J7">
        <v>4</v>
      </c>
      <c r="K7">
        <v>66</v>
      </c>
      <c r="L7">
        <v>158.19999999999999</v>
      </c>
      <c r="M7">
        <v>0.3327</v>
      </c>
      <c r="N7">
        <v>-6.0380000000000003</v>
      </c>
      <c r="O7">
        <v>6.38</v>
      </c>
      <c r="P7">
        <v>8929.3333333333303</v>
      </c>
      <c r="Q7">
        <f t="shared" si="0"/>
        <v>3.9508190355444794</v>
      </c>
      <c r="R7">
        <v>-1.418776810696575</v>
      </c>
      <c r="S7">
        <f t="shared" si="1"/>
        <v>4.0232485315444793</v>
      </c>
      <c r="T7">
        <f t="shared" si="2"/>
        <v>0.17615611300665934</v>
      </c>
      <c r="U7">
        <f t="shared" si="3"/>
        <v>5.5179196517370153E-2</v>
      </c>
      <c r="V7" s="6" t="s">
        <v>36</v>
      </c>
      <c r="Y7">
        <v>2.4040725685444801</v>
      </c>
      <c r="Z7">
        <v>3.8753506961317101</v>
      </c>
      <c r="AA7">
        <f t="shared" si="4"/>
        <v>-1.47127812758723</v>
      </c>
      <c r="AB7">
        <f t="shared" si="5"/>
        <v>0.17615187241276997</v>
      </c>
      <c r="AC7">
        <f t="shared" si="6"/>
        <v>5.9393986288031636E-2</v>
      </c>
      <c r="AE7">
        <v>6062.6666666666697</v>
      </c>
      <c r="AF7">
        <f t="shared" si="7"/>
        <v>3.7826636908134086</v>
      </c>
      <c r="AH7">
        <f t="shared" si="8"/>
        <v>3.4866822232513268</v>
      </c>
      <c r="AI7">
        <f t="shared" si="9"/>
        <v>0.31221587631387671</v>
      </c>
      <c r="AJ7">
        <f t="shared" si="10"/>
        <v>0.1231861101632625</v>
      </c>
      <c r="AM7" t="s">
        <v>37</v>
      </c>
    </row>
    <row r="8" spans="1:39" x14ac:dyDescent="0.4">
      <c r="A8">
        <v>7</v>
      </c>
      <c r="B8" t="s">
        <v>35</v>
      </c>
      <c r="C8">
        <v>25</v>
      </c>
      <c r="D8" t="s">
        <v>35</v>
      </c>
      <c r="E8">
        <v>25</v>
      </c>
      <c r="F8" t="s">
        <v>29</v>
      </c>
      <c r="G8">
        <v>10</v>
      </c>
      <c r="H8">
        <v>38.5</v>
      </c>
      <c r="I8" s="4" t="s">
        <v>30</v>
      </c>
      <c r="J8">
        <v>1.5</v>
      </c>
      <c r="K8">
        <v>50</v>
      </c>
      <c r="L8">
        <v>100.7</v>
      </c>
      <c r="M8">
        <v>0.20580000000000001</v>
      </c>
      <c r="N8">
        <v>-3.4489999999999998</v>
      </c>
      <c r="O8">
        <v>5.95</v>
      </c>
      <c r="P8">
        <v>106073.33333333299</v>
      </c>
      <c r="Q8">
        <f t="shared" si="0"/>
        <v>5.0256062166835447</v>
      </c>
      <c r="S8">
        <f t="shared" si="1"/>
        <v>5.0980357126835445</v>
      </c>
      <c r="T8">
        <f t="shared" si="2"/>
        <v>1.2509432941457246</v>
      </c>
      <c r="U8">
        <f t="shared" si="3"/>
        <v>0.39184587285451672</v>
      </c>
      <c r="V8" s="6">
        <f>S118-S35</f>
        <v>3.19243708049218</v>
      </c>
      <c r="W8">
        <v>3.0967446536415202</v>
      </c>
      <c r="Y8">
        <v>3.4788597496835401</v>
      </c>
      <c r="Z8">
        <v>3.8753506961317101</v>
      </c>
      <c r="AA8">
        <f t="shared" si="4"/>
        <v>-0.39649094644817007</v>
      </c>
      <c r="AB8">
        <f t="shared" si="5"/>
        <v>1.2509390535518299</v>
      </c>
      <c r="AC8">
        <f t="shared" si="6"/>
        <v>0.4217852241713354</v>
      </c>
      <c r="AE8">
        <v>17083.333333333299</v>
      </c>
      <c r="AF8">
        <f t="shared" si="7"/>
        <v>4.2325726150081282</v>
      </c>
      <c r="AH8">
        <f t="shared" si="8"/>
        <v>3.9365911474460464</v>
      </c>
      <c r="AI8">
        <f t="shared" si="9"/>
        <v>0.76212480050859632</v>
      </c>
      <c r="AJ8">
        <f t="shared" si="10"/>
        <v>0.30069960164108955</v>
      </c>
      <c r="AM8">
        <f>AH49-AH150</f>
        <v>2.5345055209559462</v>
      </c>
    </row>
    <row r="9" spans="1:39" x14ac:dyDescent="0.4">
      <c r="A9">
        <v>8</v>
      </c>
      <c r="B9" t="s">
        <v>28</v>
      </c>
      <c r="C9">
        <v>33</v>
      </c>
      <c r="D9" t="s">
        <v>31</v>
      </c>
      <c r="E9">
        <v>33</v>
      </c>
      <c r="F9" t="s">
        <v>29</v>
      </c>
      <c r="G9">
        <v>30</v>
      </c>
      <c r="H9">
        <v>0</v>
      </c>
      <c r="I9" s="4" t="s">
        <v>30</v>
      </c>
      <c r="J9">
        <v>4</v>
      </c>
      <c r="K9">
        <v>66</v>
      </c>
      <c r="L9">
        <v>89.74</v>
      </c>
      <c r="M9">
        <v>0.2681</v>
      </c>
      <c r="N9">
        <v>-14</v>
      </c>
      <c r="O9">
        <v>5.62</v>
      </c>
      <c r="P9">
        <v>8769.3333333333303</v>
      </c>
      <c r="Q9">
        <f t="shared" si="0"/>
        <v>3.9429665784675558</v>
      </c>
      <c r="S9">
        <f t="shared" si="1"/>
        <v>4.0153960744675556</v>
      </c>
      <c r="T9">
        <f t="shared" si="2"/>
        <v>0.16830365592973573</v>
      </c>
      <c r="U9">
        <f t="shared" si="3"/>
        <v>5.2719490380601558E-2</v>
      </c>
      <c r="V9" s="6" t="s">
        <v>38</v>
      </c>
      <c r="Y9">
        <v>2.3962201114675601</v>
      </c>
      <c r="Z9">
        <v>3.8753506961317101</v>
      </c>
      <c r="AA9">
        <f t="shared" si="4"/>
        <v>-1.47913058466415</v>
      </c>
      <c r="AB9">
        <f t="shared" si="5"/>
        <v>0.16829941533584991</v>
      </c>
      <c r="AC9">
        <f t="shared" si="6"/>
        <v>5.6746335022304091E-2</v>
      </c>
      <c r="AE9">
        <v>6472</v>
      </c>
      <c r="AF9">
        <f t="shared" si="7"/>
        <v>3.811038508604216</v>
      </c>
      <c r="AH9">
        <f t="shared" si="8"/>
        <v>3.5150570410421338</v>
      </c>
      <c r="AI9">
        <f t="shared" si="9"/>
        <v>0.34059069410468368</v>
      </c>
      <c r="AJ9">
        <f t="shared" si="10"/>
        <v>0.13438151595590986</v>
      </c>
    </row>
    <row r="10" spans="1:39" x14ac:dyDescent="0.4">
      <c r="A10">
        <v>9</v>
      </c>
      <c r="B10" t="s">
        <v>34</v>
      </c>
      <c r="C10">
        <v>25</v>
      </c>
      <c r="D10" t="s">
        <v>34</v>
      </c>
      <c r="E10">
        <v>25</v>
      </c>
      <c r="F10" t="s">
        <v>29</v>
      </c>
      <c r="G10">
        <v>10</v>
      </c>
      <c r="H10">
        <v>38.5</v>
      </c>
      <c r="I10" s="4" t="s">
        <v>30</v>
      </c>
      <c r="J10">
        <v>1.5</v>
      </c>
      <c r="K10">
        <v>50</v>
      </c>
      <c r="L10">
        <v>87.38</v>
      </c>
      <c r="M10">
        <v>0.2858</v>
      </c>
      <c r="N10">
        <v>-0.31759999999999999</v>
      </c>
      <c r="O10">
        <v>5.94</v>
      </c>
      <c r="P10">
        <v>22180</v>
      </c>
      <c r="Q10">
        <f t="shared" si="0"/>
        <v>4.345961541813141</v>
      </c>
      <c r="R10" s="78">
        <f>R6-R7</f>
        <v>1.491206306345954</v>
      </c>
      <c r="S10">
        <f t="shared" si="1"/>
        <v>4.4183910378131408</v>
      </c>
      <c r="T10">
        <f t="shared" si="2"/>
        <v>0.57129861927532088</v>
      </c>
      <c r="U10">
        <f t="shared" si="3"/>
        <v>0.17895376007702582</v>
      </c>
      <c r="Y10">
        <v>2.7992150748131399</v>
      </c>
      <c r="Z10">
        <v>3.8753506961317101</v>
      </c>
      <c r="AA10">
        <f t="shared" si="4"/>
        <v>-1.0761356213185702</v>
      </c>
      <c r="AB10">
        <f t="shared" si="5"/>
        <v>0.57129437868142974</v>
      </c>
      <c r="AC10">
        <f t="shared" si="6"/>
        <v>0.19262611307544955</v>
      </c>
      <c r="AE10">
        <v>47926.666666666701</v>
      </c>
      <c r="AF10">
        <f t="shared" si="7"/>
        <v>4.6805772245558543</v>
      </c>
      <c r="AH10">
        <f t="shared" si="8"/>
        <v>4.3845957569937726</v>
      </c>
      <c r="AI10">
        <f t="shared" si="9"/>
        <v>1.2101294100563225</v>
      </c>
      <c r="AJ10">
        <f t="shared" si="10"/>
        <v>0.47746173762521255</v>
      </c>
      <c r="AM10">
        <v>2.5345055209559502</v>
      </c>
    </row>
    <row r="11" spans="1:39" x14ac:dyDescent="0.4">
      <c r="A11">
        <v>10</v>
      </c>
      <c r="B11" t="s">
        <v>27</v>
      </c>
      <c r="C11">
        <v>33</v>
      </c>
      <c r="D11" t="s">
        <v>34</v>
      </c>
      <c r="E11">
        <v>33</v>
      </c>
      <c r="F11" t="s">
        <v>32</v>
      </c>
      <c r="G11">
        <v>30</v>
      </c>
      <c r="H11">
        <v>0</v>
      </c>
      <c r="I11" s="4" t="s">
        <v>30</v>
      </c>
      <c r="J11">
        <v>4</v>
      </c>
      <c r="K11">
        <v>66</v>
      </c>
      <c r="L11">
        <v>194.2</v>
      </c>
      <c r="M11">
        <v>0.73860000000000003</v>
      </c>
      <c r="N11">
        <v>-1.8689999999999998E-2</v>
      </c>
      <c r="O11">
        <v>5.56</v>
      </c>
      <c r="P11">
        <v>18816.666666666701</v>
      </c>
      <c r="Q11">
        <f t="shared" si="0"/>
        <v>4.2745426915413249</v>
      </c>
      <c r="R11" s="78" t="s">
        <v>39</v>
      </c>
      <c r="S11">
        <f t="shared" si="1"/>
        <v>4.3469721875413248</v>
      </c>
      <c r="T11">
        <f t="shared" si="2"/>
        <v>0.49987976900350484</v>
      </c>
      <c r="U11">
        <f t="shared" si="3"/>
        <v>0.1565824968439174</v>
      </c>
      <c r="V11">
        <v>3.1924370804921809</v>
      </c>
      <c r="Y11">
        <v>2.7277962245413199</v>
      </c>
      <c r="Z11">
        <v>3.8753506961317101</v>
      </c>
      <c r="AA11">
        <f t="shared" si="4"/>
        <v>-1.1475544715903903</v>
      </c>
      <c r="AB11">
        <f t="shared" si="5"/>
        <v>0.49987552840960969</v>
      </c>
      <c r="AC11">
        <f t="shared" si="6"/>
        <v>0.16854547086795885</v>
      </c>
      <c r="AE11">
        <v>12934.666666666701</v>
      </c>
      <c r="AF11">
        <f t="shared" si="7"/>
        <v>4.1117552411938378</v>
      </c>
      <c r="AH11">
        <f t="shared" si="8"/>
        <v>3.8157737736317561</v>
      </c>
      <c r="AI11">
        <f t="shared" si="9"/>
        <v>0.64130742669430596</v>
      </c>
      <c r="AJ11">
        <f t="shared" si="10"/>
        <v>0.25303058975086445</v>
      </c>
    </row>
    <row r="12" spans="1:39" x14ac:dyDescent="0.4">
      <c r="A12">
        <v>11</v>
      </c>
      <c r="B12" t="s">
        <v>34</v>
      </c>
      <c r="C12">
        <v>29</v>
      </c>
      <c r="D12" t="s">
        <v>28</v>
      </c>
      <c r="E12">
        <v>29</v>
      </c>
      <c r="F12" t="s">
        <v>32</v>
      </c>
      <c r="G12">
        <v>20</v>
      </c>
      <c r="H12">
        <v>19.25</v>
      </c>
      <c r="I12" s="4" t="s">
        <v>30</v>
      </c>
      <c r="J12">
        <v>2.75</v>
      </c>
      <c r="K12">
        <v>58</v>
      </c>
      <c r="L12">
        <v>94.87</v>
      </c>
      <c r="M12">
        <v>0.36259999999999998</v>
      </c>
      <c r="N12">
        <v>-0.3115</v>
      </c>
      <c r="O12">
        <v>5.53</v>
      </c>
      <c r="P12">
        <v>17403.333333333299</v>
      </c>
      <c r="Q12">
        <f t="shared" si="0"/>
        <v>4.2406324384910521</v>
      </c>
      <c r="R12">
        <f>Q149-Q18</f>
        <v>-1.7357290596586745</v>
      </c>
      <c r="S12">
        <f t="shared" si="1"/>
        <v>4.3130619344910519</v>
      </c>
      <c r="T12">
        <f t="shared" si="2"/>
        <v>0.46596951595323199</v>
      </c>
      <c r="U12">
        <f t="shared" si="3"/>
        <v>0.1459604384601472</v>
      </c>
      <c r="Y12">
        <v>2.6938859714910501</v>
      </c>
      <c r="Z12">
        <v>3.8753506961317101</v>
      </c>
      <c r="AA12">
        <f t="shared" si="4"/>
        <v>-1.18146472464066</v>
      </c>
      <c r="AB12">
        <f t="shared" si="5"/>
        <v>0.46596527535933996</v>
      </c>
      <c r="AC12">
        <f t="shared" si="6"/>
        <v>0.15711178539471038</v>
      </c>
      <c r="AE12">
        <v>7769.6666666666697</v>
      </c>
      <c r="AF12">
        <f t="shared" si="7"/>
        <v>3.8904023871493574</v>
      </c>
      <c r="AH12">
        <f t="shared" si="8"/>
        <v>3.5944209195872752</v>
      </c>
      <c r="AI12">
        <f t="shared" si="9"/>
        <v>0.41995457264982505</v>
      </c>
      <c r="AJ12">
        <f t="shared" si="10"/>
        <v>0.1656948738827087</v>
      </c>
    </row>
    <row r="13" spans="1:39" x14ac:dyDescent="0.4">
      <c r="A13">
        <v>12</v>
      </c>
      <c r="B13" t="s">
        <v>34</v>
      </c>
      <c r="C13">
        <v>29</v>
      </c>
      <c r="D13" t="s">
        <v>34</v>
      </c>
      <c r="E13">
        <v>29</v>
      </c>
      <c r="F13" t="s">
        <v>29</v>
      </c>
      <c r="G13">
        <v>20</v>
      </c>
      <c r="H13">
        <v>19.25</v>
      </c>
      <c r="I13" s="4" t="s">
        <v>30</v>
      </c>
      <c r="J13">
        <v>2.75</v>
      </c>
      <c r="K13">
        <v>58</v>
      </c>
      <c r="L13">
        <v>89.87</v>
      </c>
      <c r="M13">
        <v>0.28010000000000002</v>
      </c>
      <c r="N13">
        <v>3.1819999999999999</v>
      </c>
      <c r="O13">
        <v>4.49</v>
      </c>
      <c r="P13">
        <v>8514.3333333333303</v>
      </c>
      <c r="Q13">
        <f t="shared" si="0"/>
        <v>3.9301506486592426</v>
      </c>
      <c r="S13">
        <f t="shared" si="1"/>
        <v>4.0025801446592428</v>
      </c>
      <c r="T13">
        <f t="shared" si="2"/>
        <v>0.15548772612142292</v>
      </c>
      <c r="U13">
        <f t="shared" si="3"/>
        <v>4.8705024476605477E-2</v>
      </c>
      <c r="Y13">
        <v>2.3834041816592402</v>
      </c>
      <c r="Z13">
        <v>3.8753506961317101</v>
      </c>
      <c r="AA13">
        <f t="shared" si="4"/>
        <v>-1.49194651447247</v>
      </c>
      <c r="AB13">
        <f t="shared" si="5"/>
        <v>0.15548348552753</v>
      </c>
      <c r="AC13">
        <f t="shared" si="6"/>
        <v>5.242512543833746E-2</v>
      </c>
      <c r="AE13">
        <v>13134.666666666701</v>
      </c>
      <c r="AF13">
        <f t="shared" si="7"/>
        <v>4.1184190556782978</v>
      </c>
      <c r="AH13">
        <f t="shared" si="8"/>
        <v>3.822437588116216</v>
      </c>
      <c r="AI13">
        <f t="shared" si="9"/>
        <v>0.64797124117876592</v>
      </c>
      <c r="AJ13">
        <f t="shared" si="10"/>
        <v>0.25565982627426587</v>
      </c>
    </row>
    <row r="14" spans="1:39" x14ac:dyDescent="0.4">
      <c r="A14">
        <v>13</v>
      </c>
      <c r="B14" t="s">
        <v>31</v>
      </c>
      <c r="C14">
        <v>29</v>
      </c>
      <c r="D14" t="s">
        <v>27</v>
      </c>
      <c r="E14">
        <v>29</v>
      </c>
      <c r="F14" t="s">
        <v>29</v>
      </c>
      <c r="G14">
        <v>20</v>
      </c>
      <c r="H14">
        <v>19.25</v>
      </c>
      <c r="I14" s="4" t="s">
        <v>30</v>
      </c>
      <c r="J14">
        <v>2.75</v>
      </c>
      <c r="K14">
        <v>58</v>
      </c>
      <c r="L14">
        <v>93.04</v>
      </c>
      <c r="M14">
        <v>0.2326</v>
      </c>
      <c r="N14">
        <v>-7.7329999999999997</v>
      </c>
      <c r="O14">
        <v>6</v>
      </c>
      <c r="P14">
        <v>39673.333333333299</v>
      </c>
      <c r="Q14">
        <f t="shared" si="0"/>
        <v>4.5984986912091133</v>
      </c>
      <c r="R14">
        <f>Q150-Q20</f>
        <v>-1.1018245617344751</v>
      </c>
      <c r="S14">
        <f t="shared" si="1"/>
        <v>4.6709281872091131</v>
      </c>
      <c r="T14">
        <f t="shared" si="2"/>
        <v>0.82383576867129316</v>
      </c>
      <c r="U14">
        <f t="shared" si="3"/>
        <v>0.25805857657538961</v>
      </c>
      <c r="Y14">
        <v>3.05175222420911</v>
      </c>
      <c r="Z14">
        <v>3.8753506961317101</v>
      </c>
      <c r="AA14">
        <f t="shared" si="4"/>
        <v>-0.82359847192260016</v>
      </c>
      <c r="AB14">
        <f t="shared" si="5"/>
        <v>0.82383152807739979</v>
      </c>
      <c r="AC14">
        <f t="shared" si="6"/>
        <v>0.27777529589705369</v>
      </c>
      <c r="AE14">
        <v>5127</v>
      </c>
      <c r="AF14">
        <f t="shared" si="7"/>
        <v>3.7098633174403992</v>
      </c>
      <c r="AG14">
        <v>0.47171915689544203</v>
      </c>
      <c r="AH14">
        <f t="shared" si="8"/>
        <v>3.413881849878317</v>
      </c>
      <c r="AI14">
        <f t="shared" si="9"/>
        <v>0.23941550294086689</v>
      </c>
      <c r="AJ14">
        <f t="shared" si="10"/>
        <v>9.4462411291400747E-2</v>
      </c>
    </row>
    <row r="15" spans="1:39" x14ac:dyDescent="0.4">
      <c r="A15">
        <v>14</v>
      </c>
      <c r="B15" t="s">
        <v>27</v>
      </c>
      <c r="C15">
        <v>29</v>
      </c>
      <c r="D15" t="s">
        <v>27</v>
      </c>
      <c r="E15">
        <v>29</v>
      </c>
      <c r="F15" t="s">
        <v>29</v>
      </c>
      <c r="G15">
        <v>20</v>
      </c>
      <c r="H15">
        <v>19.25</v>
      </c>
      <c r="I15" s="4" t="s">
        <v>30</v>
      </c>
      <c r="J15">
        <v>2.75</v>
      </c>
      <c r="K15">
        <v>58</v>
      </c>
      <c r="L15">
        <v>90.11</v>
      </c>
      <c r="M15">
        <v>0.1857</v>
      </c>
      <c r="N15">
        <v>-16.940000000000001</v>
      </c>
      <c r="O15">
        <v>6.15</v>
      </c>
      <c r="P15">
        <v>22700</v>
      </c>
      <c r="Q15">
        <f t="shared" si="0"/>
        <v>4.3560258571931225</v>
      </c>
      <c r="R15">
        <f>(R12+R14)/2</f>
        <v>-1.4187768106965748</v>
      </c>
      <c r="S15">
        <f t="shared" si="1"/>
        <v>4.4284553531931223</v>
      </c>
      <c r="T15">
        <f t="shared" si="2"/>
        <v>0.58136293465530242</v>
      </c>
      <c r="U15">
        <f t="shared" si="3"/>
        <v>0.1821063094077652</v>
      </c>
      <c r="Y15">
        <v>2.8092793901931201</v>
      </c>
      <c r="Z15">
        <v>3.8753506961317101</v>
      </c>
      <c r="AA15">
        <f t="shared" si="4"/>
        <v>-1.06607130593859</v>
      </c>
      <c r="AB15">
        <f t="shared" si="5"/>
        <v>0.58135869406140994</v>
      </c>
      <c r="AC15">
        <f t="shared" si="6"/>
        <v>0.19601954739714816</v>
      </c>
      <c r="AE15">
        <v>8299</v>
      </c>
      <c r="AF15">
        <f t="shared" si="7"/>
        <v>3.9190257645873601</v>
      </c>
      <c r="AH15">
        <f t="shared" si="8"/>
        <v>3.6230442970252783</v>
      </c>
      <c r="AI15">
        <f t="shared" si="9"/>
        <v>0.44857795008782819</v>
      </c>
      <c r="AJ15">
        <f t="shared" si="10"/>
        <v>0.17698834994789681</v>
      </c>
    </row>
    <row r="16" spans="1:39" x14ac:dyDescent="0.4">
      <c r="A16">
        <v>15</v>
      </c>
      <c r="B16" t="s">
        <v>31</v>
      </c>
      <c r="C16">
        <v>29</v>
      </c>
      <c r="D16" t="s">
        <v>33</v>
      </c>
      <c r="E16">
        <v>29</v>
      </c>
      <c r="F16" t="s">
        <v>29</v>
      </c>
      <c r="G16">
        <v>20</v>
      </c>
      <c r="H16">
        <v>19.25</v>
      </c>
      <c r="I16" s="4" t="s">
        <v>30</v>
      </c>
      <c r="J16">
        <v>2.75</v>
      </c>
      <c r="K16">
        <v>58</v>
      </c>
      <c r="L16">
        <v>132.19999999999999</v>
      </c>
      <c r="M16">
        <v>0.14510000000000001</v>
      </c>
      <c r="N16">
        <v>-8.2349999999999994</v>
      </c>
      <c r="O16">
        <v>5.54</v>
      </c>
      <c r="P16">
        <v>70016.666666666701</v>
      </c>
      <c r="Q16">
        <f t="shared" si="0"/>
        <v>4.845201431154349</v>
      </c>
      <c r="S16">
        <f t="shared" si="1"/>
        <v>4.9176309271543488</v>
      </c>
      <c r="T16">
        <f t="shared" si="2"/>
        <v>1.0705385086165289</v>
      </c>
      <c r="U16">
        <f t="shared" si="3"/>
        <v>0.33533582081327312</v>
      </c>
      <c r="Y16">
        <v>3.2984549641543501</v>
      </c>
      <c r="Z16">
        <v>3.8753506961317101</v>
      </c>
      <c r="AA16">
        <f t="shared" si="4"/>
        <v>-0.57689573197735999</v>
      </c>
      <c r="AB16">
        <f t="shared" si="5"/>
        <v>1.07053426802264</v>
      </c>
      <c r="AC16">
        <f t="shared" si="6"/>
        <v>0.36095726241735504</v>
      </c>
      <c r="AE16">
        <v>44053.333333333299</v>
      </c>
      <c r="AF16">
        <f t="shared" si="7"/>
        <v>4.6439787752566444</v>
      </c>
      <c r="AH16">
        <f t="shared" si="8"/>
        <v>4.3479973076945626</v>
      </c>
      <c r="AI16">
        <f t="shared" si="9"/>
        <v>1.1735309607571125</v>
      </c>
      <c r="AJ16">
        <f t="shared" si="10"/>
        <v>0.46302166282695129</v>
      </c>
    </row>
    <row r="17" spans="1:36" x14ac:dyDescent="0.4">
      <c r="A17">
        <v>16</v>
      </c>
      <c r="B17" t="s">
        <v>27</v>
      </c>
      <c r="C17">
        <v>33</v>
      </c>
      <c r="D17" t="s">
        <v>31</v>
      </c>
      <c r="E17">
        <v>33</v>
      </c>
      <c r="F17" t="s">
        <v>29</v>
      </c>
      <c r="G17">
        <v>30</v>
      </c>
      <c r="H17">
        <v>0</v>
      </c>
      <c r="I17" s="4" t="s">
        <v>30</v>
      </c>
      <c r="J17">
        <v>4</v>
      </c>
      <c r="K17">
        <v>66</v>
      </c>
      <c r="L17">
        <v>94.95</v>
      </c>
      <c r="M17">
        <v>0.37690000000000001</v>
      </c>
      <c r="N17">
        <v>-23.62</v>
      </c>
      <c r="O17">
        <v>4</v>
      </c>
      <c r="P17">
        <v>22270</v>
      </c>
      <c r="Q17">
        <f t="shared" si="0"/>
        <v>4.3477202170340385</v>
      </c>
      <c r="R17" t="s">
        <v>40</v>
      </c>
      <c r="S17">
        <f t="shared" si="1"/>
        <v>4.4201497130340384</v>
      </c>
      <c r="T17">
        <f t="shared" si="2"/>
        <v>0.57305729449621845</v>
      </c>
      <c r="U17">
        <f t="shared" si="3"/>
        <v>0.17950464805909924</v>
      </c>
      <c r="Y17">
        <v>2.8009737500340401</v>
      </c>
      <c r="Z17">
        <v>3.8753506961317101</v>
      </c>
      <c r="AA17">
        <f t="shared" si="4"/>
        <v>-1.07437694609767</v>
      </c>
      <c r="AB17">
        <f t="shared" si="5"/>
        <v>0.57305305390232997</v>
      </c>
      <c r="AC17">
        <f t="shared" si="6"/>
        <v>0.19321909418047284</v>
      </c>
      <c r="AE17">
        <v>13376.666666666701</v>
      </c>
      <c r="AF17">
        <f t="shared" si="7"/>
        <v>4.1263479050141774</v>
      </c>
      <c r="AG17" t="s">
        <v>41</v>
      </c>
      <c r="AH17">
        <f t="shared" si="8"/>
        <v>3.8303664374520956</v>
      </c>
      <c r="AI17">
        <f t="shared" si="9"/>
        <v>0.65590009051464548</v>
      </c>
      <c r="AJ17">
        <f t="shared" si="10"/>
        <v>0.2587881877121565</v>
      </c>
    </row>
    <row r="18" spans="1:36" x14ac:dyDescent="0.4">
      <c r="A18" s="43">
        <v>17</v>
      </c>
      <c r="B18" s="43" t="s">
        <v>35</v>
      </c>
      <c r="C18" s="43">
        <v>25</v>
      </c>
      <c r="D18" s="43" t="s">
        <v>35</v>
      </c>
      <c r="E18" s="43">
        <v>25</v>
      </c>
      <c r="F18" s="43" t="s">
        <v>32</v>
      </c>
      <c r="G18" s="43">
        <v>10</v>
      </c>
      <c r="H18" s="43">
        <v>38.5</v>
      </c>
      <c r="I18" s="82" t="s">
        <v>30</v>
      </c>
      <c r="J18" s="43">
        <v>1.5</v>
      </c>
      <c r="K18" s="43">
        <v>50</v>
      </c>
      <c r="L18" s="43">
        <v>123.9</v>
      </c>
      <c r="M18" s="43">
        <v>8.6249999999999993E-2</v>
      </c>
      <c r="N18" s="43">
        <v>-10.23</v>
      </c>
      <c r="O18" s="86">
        <v>6.27</v>
      </c>
      <c r="P18" s="43">
        <v>264300</v>
      </c>
      <c r="Q18" s="67">
        <f t="shared" si="0"/>
        <v>5.4220971631317108</v>
      </c>
      <c r="R18">
        <f>Q114-Q18</f>
        <v>-1.5467464665524218</v>
      </c>
      <c r="S18" s="67">
        <f t="shared" si="1"/>
        <v>5.4945266591317106</v>
      </c>
      <c r="T18">
        <f t="shared" si="2"/>
        <v>1.6474342405938907</v>
      </c>
      <c r="U18">
        <f t="shared" si="3"/>
        <v>0.51604282224221332</v>
      </c>
      <c r="V18" s="43"/>
      <c r="W18" s="43"/>
      <c r="X18" s="43"/>
      <c r="Y18" s="43">
        <v>3.8753506961317101</v>
      </c>
      <c r="Z18">
        <v>3.8753506961317101</v>
      </c>
      <c r="AA18">
        <f t="shared" si="4"/>
        <v>0</v>
      </c>
      <c r="AB18">
        <f t="shared" si="5"/>
        <v>1.6474299999999999</v>
      </c>
      <c r="AC18">
        <f t="shared" si="6"/>
        <v>0.55547201111328404</v>
      </c>
      <c r="AE18">
        <v>48696.666666666701</v>
      </c>
      <c r="AF18">
        <f t="shared" si="7"/>
        <v>4.6874992343600486</v>
      </c>
      <c r="AG18">
        <f>AF114-AF18</f>
        <v>-0.10154996343675027</v>
      </c>
      <c r="AH18">
        <f t="shared" si="8"/>
        <v>4.3915177667979668</v>
      </c>
      <c r="AI18">
        <f t="shared" si="9"/>
        <v>1.2170514198605167</v>
      </c>
      <c r="AJ18">
        <f t="shared" si="10"/>
        <v>0.48019284621699154</v>
      </c>
    </row>
    <row r="19" spans="1:36" x14ac:dyDescent="0.4">
      <c r="A19">
        <v>18</v>
      </c>
      <c r="B19" t="s">
        <v>33</v>
      </c>
      <c r="C19">
        <v>25</v>
      </c>
      <c r="D19" t="s">
        <v>34</v>
      </c>
      <c r="E19">
        <v>25</v>
      </c>
      <c r="F19" t="s">
        <v>32</v>
      </c>
      <c r="G19">
        <v>10</v>
      </c>
      <c r="H19">
        <v>38.5</v>
      </c>
      <c r="I19" s="4" t="s">
        <v>30</v>
      </c>
      <c r="J19">
        <v>1.5</v>
      </c>
      <c r="K19">
        <v>50</v>
      </c>
      <c r="L19">
        <v>127.3</v>
      </c>
      <c r="M19">
        <v>0.21740000000000001</v>
      </c>
      <c r="N19">
        <v>1.413</v>
      </c>
      <c r="O19">
        <v>6.48</v>
      </c>
      <c r="P19">
        <v>58993.333333333299</v>
      </c>
      <c r="Q19">
        <f t="shared" si="0"/>
        <v>4.7708029360466453</v>
      </c>
      <c r="S19">
        <f t="shared" si="1"/>
        <v>4.8432324320466451</v>
      </c>
      <c r="T19">
        <f t="shared" si="2"/>
        <v>0.9961400135088252</v>
      </c>
      <c r="U19">
        <f t="shared" si="3"/>
        <v>0.31203121268996953</v>
      </c>
      <c r="Y19">
        <v>3.2240564690466398</v>
      </c>
      <c r="Z19">
        <v>3.8753506961317101</v>
      </c>
      <c r="AA19">
        <f t="shared" si="4"/>
        <v>-0.65129422708507034</v>
      </c>
      <c r="AB19">
        <f t="shared" si="5"/>
        <v>0.99613577291492961</v>
      </c>
      <c r="AC19">
        <f t="shared" si="6"/>
        <v>0.33587195882249415</v>
      </c>
      <c r="AE19">
        <v>85843.333333333299</v>
      </c>
      <c r="AF19">
        <f t="shared" si="7"/>
        <v>4.933706573125721</v>
      </c>
      <c r="AH19">
        <f t="shared" si="8"/>
        <v>4.6377251055636393</v>
      </c>
      <c r="AI19">
        <f t="shared" si="9"/>
        <v>1.4632587586261891</v>
      </c>
      <c r="AJ19">
        <f t="shared" si="10"/>
        <v>0.5773350053995091</v>
      </c>
    </row>
    <row r="20" spans="1:36" x14ac:dyDescent="0.4">
      <c r="A20">
        <v>19</v>
      </c>
      <c r="B20" t="s">
        <v>34</v>
      </c>
      <c r="C20">
        <v>25</v>
      </c>
      <c r="D20" t="s">
        <v>34</v>
      </c>
      <c r="E20">
        <v>25</v>
      </c>
      <c r="F20" t="s">
        <v>32</v>
      </c>
      <c r="G20">
        <v>10</v>
      </c>
      <c r="H20">
        <v>38.5</v>
      </c>
      <c r="I20" s="4" t="s">
        <v>30</v>
      </c>
      <c r="J20">
        <v>1.5</v>
      </c>
      <c r="K20">
        <v>50</v>
      </c>
      <c r="L20">
        <v>100.1</v>
      </c>
      <c r="M20">
        <v>0.31879999999999997</v>
      </c>
      <c r="N20">
        <v>2.6139999999999999</v>
      </c>
      <c r="O20">
        <v>6.48</v>
      </c>
      <c r="P20">
        <v>24513.333333333299</v>
      </c>
      <c r="Q20" s="67">
        <f t="shared" si="0"/>
        <v>4.3894023708131806</v>
      </c>
      <c r="R20">
        <f>Q115-Q20</f>
        <v>-0.25490651497850703</v>
      </c>
      <c r="S20" s="67">
        <f t="shared" si="1"/>
        <v>4.4618318668131804</v>
      </c>
      <c r="T20">
        <f t="shared" si="2"/>
        <v>0.61473944827536053</v>
      </c>
      <c r="U20">
        <f t="shared" si="3"/>
        <v>0.19256117908371134</v>
      </c>
      <c r="Y20">
        <v>2.84265590381318</v>
      </c>
      <c r="Z20">
        <v>3.8753506961317101</v>
      </c>
      <c r="AA20">
        <f t="shared" si="4"/>
        <v>-1.0326947923185301</v>
      </c>
      <c r="AB20">
        <f t="shared" si="5"/>
        <v>0.61473520768146983</v>
      </c>
      <c r="AC20">
        <f t="shared" si="6"/>
        <v>0.20727326934253254</v>
      </c>
      <c r="AE20">
        <v>14966.666666666701</v>
      </c>
      <c r="AF20">
        <f t="shared" si="7"/>
        <v>4.1751250862836615</v>
      </c>
      <c r="AG20">
        <f>AF115-AF20</f>
        <v>0.45302534210346934</v>
      </c>
      <c r="AH20">
        <f t="shared" si="8"/>
        <v>3.8791436187215798</v>
      </c>
      <c r="AI20">
        <f t="shared" si="9"/>
        <v>0.70467727178412964</v>
      </c>
      <c r="AJ20">
        <f t="shared" si="10"/>
        <v>0.27803343332956859</v>
      </c>
    </row>
    <row r="21" spans="1:36" x14ac:dyDescent="0.4">
      <c r="A21">
        <v>20</v>
      </c>
      <c r="B21" t="s">
        <v>34</v>
      </c>
      <c r="C21">
        <v>33</v>
      </c>
      <c r="D21" t="s">
        <v>28</v>
      </c>
      <c r="E21">
        <v>33</v>
      </c>
      <c r="F21" t="s">
        <v>29</v>
      </c>
      <c r="G21">
        <v>30</v>
      </c>
      <c r="H21">
        <v>0</v>
      </c>
      <c r="I21" s="4" t="s">
        <v>30</v>
      </c>
      <c r="J21">
        <v>4</v>
      </c>
      <c r="K21">
        <v>66</v>
      </c>
      <c r="L21">
        <v>113.7</v>
      </c>
      <c r="M21">
        <v>0.3836</v>
      </c>
      <c r="N21">
        <v>-2.6789999999999998</v>
      </c>
      <c r="O21">
        <v>7.02</v>
      </c>
      <c r="P21">
        <v>17186.666666666701</v>
      </c>
      <c r="Q21">
        <f t="shared" si="0"/>
        <v>4.2351916539617038</v>
      </c>
      <c r="R21">
        <f>(R18+R20)/2</f>
        <v>-0.90082649076546439</v>
      </c>
      <c r="S21">
        <f t="shared" si="1"/>
        <v>4.3076211499617036</v>
      </c>
      <c r="T21">
        <f t="shared" si="2"/>
        <v>0.46052873142388373</v>
      </c>
      <c r="U21">
        <f t="shared" si="3"/>
        <v>0.14425616539445901</v>
      </c>
      <c r="Y21">
        <v>2.6884451869617001</v>
      </c>
      <c r="Z21">
        <v>3.8753506961317101</v>
      </c>
      <c r="AA21">
        <f t="shared" si="4"/>
        <v>-1.18690550917001</v>
      </c>
      <c r="AB21">
        <f t="shared" si="5"/>
        <v>0.46052449082998992</v>
      </c>
      <c r="AC21">
        <f t="shared" si="6"/>
        <v>0.15527728952869355</v>
      </c>
      <c r="AE21">
        <v>11099.666666666701</v>
      </c>
      <c r="AF21">
        <f t="shared" si="7"/>
        <v>4.0453099367144976</v>
      </c>
      <c r="AG21">
        <f>(AG18+AG20)/2</f>
        <v>0.17573768933335954</v>
      </c>
      <c r="AH21">
        <f t="shared" si="8"/>
        <v>3.7493284691524158</v>
      </c>
      <c r="AI21">
        <f t="shared" si="9"/>
        <v>0.57486212221496569</v>
      </c>
      <c r="AJ21">
        <f t="shared" si="10"/>
        <v>0.2268143105082456</v>
      </c>
    </row>
    <row r="22" spans="1:36" x14ac:dyDescent="0.4">
      <c r="A22">
        <v>21</v>
      </c>
      <c r="B22" t="s">
        <v>35</v>
      </c>
      <c r="C22">
        <v>25</v>
      </c>
      <c r="D22" t="s">
        <v>27</v>
      </c>
      <c r="E22">
        <v>25</v>
      </c>
      <c r="F22" t="s">
        <v>32</v>
      </c>
      <c r="G22">
        <v>10</v>
      </c>
      <c r="H22">
        <v>38.5</v>
      </c>
      <c r="I22" s="4" t="s">
        <v>30</v>
      </c>
      <c r="J22">
        <v>1.5</v>
      </c>
      <c r="K22">
        <v>50</v>
      </c>
      <c r="L22">
        <v>926.3</v>
      </c>
      <c r="M22">
        <v>0.73850000000000005</v>
      </c>
      <c r="N22">
        <v>-12.42</v>
      </c>
      <c r="O22">
        <v>6.54</v>
      </c>
      <c r="P22">
        <v>32046.666666666701</v>
      </c>
      <c r="Q22">
        <f t="shared" si="0"/>
        <v>4.5057828630729659</v>
      </c>
      <c r="S22">
        <f t="shared" si="1"/>
        <v>4.5782123590729658</v>
      </c>
      <c r="T22">
        <f t="shared" si="2"/>
        <v>0.73111994053514584</v>
      </c>
      <c r="U22">
        <f t="shared" si="3"/>
        <v>0.2290162412645407</v>
      </c>
      <c r="Y22">
        <v>2.9590363960729702</v>
      </c>
      <c r="Z22">
        <v>3.8753506961317101</v>
      </c>
      <c r="AA22">
        <f t="shared" si="4"/>
        <v>-0.91631430005873993</v>
      </c>
      <c r="AB22">
        <f t="shared" si="5"/>
        <v>0.73111569994126002</v>
      </c>
      <c r="AC22">
        <f t="shared" si="6"/>
        <v>0.24651384775247995</v>
      </c>
      <c r="AE22">
        <v>55763.333333333299</v>
      </c>
      <c r="AF22">
        <f t="shared" si="7"/>
        <v>4.7463487264422577</v>
      </c>
      <c r="AG22" s="77">
        <v>0.17573768933335951</v>
      </c>
      <c r="AH22">
        <f t="shared" si="8"/>
        <v>4.4503672588801759</v>
      </c>
      <c r="AI22">
        <f t="shared" si="9"/>
        <v>1.2759009119427258</v>
      </c>
      <c r="AJ22">
        <f t="shared" si="10"/>
        <v>0.50341216517117271</v>
      </c>
    </row>
    <row r="23" spans="1:36" x14ac:dyDescent="0.4">
      <c r="A23">
        <v>22</v>
      </c>
      <c r="B23" t="s">
        <v>34</v>
      </c>
      <c r="C23">
        <v>25</v>
      </c>
      <c r="D23" t="s">
        <v>35</v>
      </c>
      <c r="E23">
        <v>25</v>
      </c>
      <c r="F23" t="s">
        <v>32</v>
      </c>
      <c r="G23">
        <v>10</v>
      </c>
      <c r="H23">
        <v>38.5</v>
      </c>
      <c r="I23" s="4" t="s">
        <v>30</v>
      </c>
      <c r="J23">
        <v>1.5</v>
      </c>
      <c r="K23">
        <v>50</v>
      </c>
      <c r="L23">
        <v>119.3</v>
      </c>
      <c r="M23">
        <v>0.36109999999999998</v>
      </c>
      <c r="N23">
        <v>-0.5131</v>
      </c>
      <c r="O23">
        <v>6.5</v>
      </c>
      <c r="P23">
        <v>77160</v>
      </c>
      <c r="Q23">
        <f t="shared" si="0"/>
        <v>4.8873922189718471</v>
      </c>
      <c r="S23">
        <f t="shared" si="1"/>
        <v>4.9598217149718469</v>
      </c>
      <c r="T23">
        <f t="shared" si="2"/>
        <v>1.112729296434027</v>
      </c>
      <c r="U23">
        <f t="shared" si="3"/>
        <v>0.34855167652482816</v>
      </c>
      <c r="Y23">
        <v>3.34064575197185</v>
      </c>
      <c r="Z23">
        <v>3.8753506961317101</v>
      </c>
      <c r="AA23">
        <f t="shared" si="4"/>
        <v>-0.53470494415986014</v>
      </c>
      <c r="AB23">
        <f t="shared" si="5"/>
        <v>1.1127250558401398</v>
      </c>
      <c r="AC23">
        <f t="shared" si="6"/>
        <v>0.37518293619981652</v>
      </c>
      <c r="AE23">
        <v>81566.666666666701</v>
      </c>
      <c r="AF23">
        <f t="shared" si="7"/>
        <v>4.9115127146321269</v>
      </c>
      <c r="AG23">
        <f>AG22-AG29</f>
        <v>0.47171915689544153</v>
      </c>
      <c r="AH23">
        <f t="shared" si="8"/>
        <v>4.6155312470700451</v>
      </c>
      <c r="AI23">
        <f t="shared" si="9"/>
        <v>1.441064900132595</v>
      </c>
      <c r="AJ23">
        <f t="shared" si="10"/>
        <v>0.56857832354970073</v>
      </c>
    </row>
    <row r="24" spans="1:36" x14ac:dyDescent="0.4">
      <c r="A24">
        <v>23</v>
      </c>
      <c r="B24" t="s">
        <v>35</v>
      </c>
      <c r="C24">
        <v>33</v>
      </c>
      <c r="D24" t="s">
        <v>31</v>
      </c>
      <c r="E24">
        <v>33</v>
      </c>
      <c r="F24" t="s">
        <v>32</v>
      </c>
      <c r="G24">
        <v>30</v>
      </c>
      <c r="H24">
        <v>0</v>
      </c>
      <c r="I24" s="4" t="s">
        <v>30</v>
      </c>
      <c r="J24">
        <v>4</v>
      </c>
      <c r="K24">
        <v>66</v>
      </c>
      <c r="L24">
        <v>231.1</v>
      </c>
      <c r="M24">
        <v>0.63570000000000004</v>
      </c>
      <c r="N24">
        <v>-6.2510000000000003</v>
      </c>
      <c r="O24">
        <v>6.57</v>
      </c>
      <c r="P24">
        <v>28173.333333333299</v>
      </c>
      <c r="Q24">
        <f t="shared" si="0"/>
        <v>4.4498382336606124</v>
      </c>
      <c r="R24" t="s">
        <v>42</v>
      </c>
      <c r="S24">
        <f t="shared" si="1"/>
        <v>4.5222677296606122</v>
      </c>
      <c r="T24">
        <f t="shared" si="2"/>
        <v>0.67517531112279228</v>
      </c>
      <c r="U24">
        <f t="shared" si="3"/>
        <v>0.21149212786451918</v>
      </c>
      <c r="Y24">
        <v>2.90309176666061</v>
      </c>
      <c r="Z24">
        <v>3.8753506961317101</v>
      </c>
      <c r="AA24">
        <f t="shared" si="4"/>
        <v>-0.97225892947110015</v>
      </c>
      <c r="AB24">
        <f t="shared" si="5"/>
        <v>0.6751710705288998</v>
      </c>
      <c r="AC24">
        <f t="shared" si="6"/>
        <v>0.22765072409279721</v>
      </c>
      <c r="AE24">
        <v>11637.333333333299</v>
      </c>
      <c r="AF24">
        <f t="shared" si="7"/>
        <v>4.0658534741885841</v>
      </c>
      <c r="AG24" t="s">
        <v>43</v>
      </c>
      <c r="AH24">
        <f t="shared" si="8"/>
        <v>3.7698720066265023</v>
      </c>
      <c r="AI24">
        <f t="shared" si="9"/>
        <v>0.59540565968905224</v>
      </c>
      <c r="AJ24">
        <f t="shared" si="10"/>
        <v>0.23491985113706937</v>
      </c>
    </row>
    <row r="25" spans="1:36" x14ac:dyDescent="0.4">
      <c r="A25" s="73">
        <v>24</v>
      </c>
      <c r="B25" t="s">
        <v>27</v>
      </c>
      <c r="C25">
        <v>25</v>
      </c>
      <c r="D25" t="s">
        <v>31</v>
      </c>
      <c r="E25">
        <v>25</v>
      </c>
      <c r="F25" t="s">
        <v>29</v>
      </c>
      <c r="G25">
        <v>10</v>
      </c>
      <c r="H25">
        <v>38.5</v>
      </c>
      <c r="I25" s="4" t="s">
        <v>30</v>
      </c>
      <c r="J25">
        <v>1.5</v>
      </c>
      <c r="K25">
        <v>50</v>
      </c>
      <c r="L25">
        <v>105.3</v>
      </c>
      <c r="M25">
        <v>0.13569999999999999</v>
      </c>
      <c r="N25">
        <v>-3.9060000000000001</v>
      </c>
      <c r="O25">
        <v>5.88</v>
      </c>
      <c r="P25">
        <v>75836.666666666701</v>
      </c>
      <c r="Q25" s="73">
        <f t="shared" si="0"/>
        <v>4.8798792357212601</v>
      </c>
      <c r="R25">
        <f>Q83-Q25</f>
        <v>-0.15217535203590593</v>
      </c>
      <c r="S25">
        <f t="shared" si="1"/>
        <v>4.95230873172126</v>
      </c>
      <c r="T25">
        <f t="shared" si="2"/>
        <v>1.10521631318344</v>
      </c>
      <c r="U25">
        <f t="shared" si="3"/>
        <v>0.34619830727672168</v>
      </c>
      <c r="Y25">
        <v>3.33313276872126</v>
      </c>
      <c r="Z25">
        <v>3.8753506961317101</v>
      </c>
      <c r="AA25">
        <f t="shared" si="4"/>
        <v>-0.54221792741045016</v>
      </c>
      <c r="AB25">
        <f t="shared" si="5"/>
        <v>1.1052120725895498</v>
      </c>
      <c r="AC25">
        <f t="shared" si="6"/>
        <v>0.37264974698044717</v>
      </c>
      <c r="AE25">
        <v>10480.666666666701</v>
      </c>
      <c r="AF25">
        <f t="shared" si="7"/>
        <v>4.0203889086444686</v>
      </c>
      <c r="AG25">
        <f>AF83-AF25</f>
        <v>-0.21066089542856226</v>
      </c>
      <c r="AH25">
        <f t="shared" si="8"/>
        <v>3.7244074410823869</v>
      </c>
      <c r="AI25">
        <f t="shared" si="9"/>
        <v>0.54994109414493675</v>
      </c>
      <c r="AJ25">
        <f t="shared" si="10"/>
        <v>0.21698161223082013</v>
      </c>
    </row>
    <row r="26" spans="1:36" x14ac:dyDescent="0.4">
      <c r="A26" s="73">
        <v>25</v>
      </c>
      <c r="B26" t="s">
        <v>31</v>
      </c>
      <c r="C26">
        <v>33</v>
      </c>
      <c r="D26" t="s">
        <v>35</v>
      </c>
      <c r="E26">
        <v>33</v>
      </c>
      <c r="F26" t="s">
        <v>29</v>
      </c>
      <c r="G26">
        <v>30</v>
      </c>
      <c r="H26">
        <v>0</v>
      </c>
      <c r="I26" s="4" t="s">
        <v>30</v>
      </c>
      <c r="J26">
        <v>4</v>
      </c>
      <c r="K26">
        <v>66</v>
      </c>
      <c r="L26">
        <v>107</v>
      </c>
      <c r="M26">
        <v>0.11459999999999999</v>
      </c>
      <c r="N26">
        <v>-6.516</v>
      </c>
      <c r="P26">
        <v>131840</v>
      </c>
      <c r="Q26" s="73">
        <f t="shared" si="0"/>
        <v>5.1200471943530408</v>
      </c>
      <c r="R26">
        <f>Q84-Q26</f>
        <v>0.3423158589059021</v>
      </c>
      <c r="S26">
        <f t="shared" si="1"/>
        <v>5.1924766903530406</v>
      </c>
      <c r="T26">
        <f t="shared" si="2"/>
        <v>1.3453842718152207</v>
      </c>
      <c r="U26">
        <f t="shared" si="3"/>
        <v>0.42142859455047449</v>
      </c>
      <c r="Y26">
        <v>3.5733007273530402</v>
      </c>
      <c r="Z26">
        <v>3.8753506961317101</v>
      </c>
      <c r="AA26">
        <f t="shared" si="4"/>
        <v>-0.30204996877866996</v>
      </c>
      <c r="AB26">
        <f t="shared" si="5"/>
        <v>1.34538003122133</v>
      </c>
      <c r="AC26">
        <f t="shared" si="6"/>
        <v>0.45362834940128871</v>
      </c>
      <c r="AE26">
        <v>11729</v>
      </c>
      <c r="AF26">
        <f t="shared" si="7"/>
        <v>4.0692609862847462</v>
      </c>
      <c r="AG26">
        <f>AF84-AF26</f>
        <v>0.25130069391049048</v>
      </c>
      <c r="AH26">
        <f t="shared" si="8"/>
        <v>3.7732795187226644</v>
      </c>
      <c r="AI26">
        <f t="shared" si="9"/>
        <v>0.59881317178521432</v>
      </c>
      <c r="AJ26">
        <f t="shared" si="10"/>
        <v>0.23626429961744863</v>
      </c>
    </row>
    <row r="27" spans="1:36" x14ac:dyDescent="0.4">
      <c r="A27" s="73">
        <v>26</v>
      </c>
      <c r="B27" t="s">
        <v>35</v>
      </c>
      <c r="C27">
        <v>25</v>
      </c>
      <c r="D27" t="s">
        <v>31</v>
      </c>
      <c r="E27">
        <v>25</v>
      </c>
      <c r="F27" t="s">
        <v>29</v>
      </c>
      <c r="G27">
        <v>10</v>
      </c>
      <c r="H27">
        <v>38.5</v>
      </c>
      <c r="I27" s="4" t="s">
        <v>30</v>
      </c>
      <c r="J27">
        <v>1.5</v>
      </c>
      <c r="K27">
        <v>50</v>
      </c>
      <c r="L27">
        <v>92.63</v>
      </c>
      <c r="M27">
        <v>0.1482</v>
      </c>
      <c r="N27">
        <v>-2.2829999999999999</v>
      </c>
      <c r="O27">
        <v>6.47</v>
      </c>
      <c r="P27">
        <v>143966.66666666701</v>
      </c>
      <c r="Q27" s="73">
        <f t="shared" si="0"/>
        <v>5.1582619493278372</v>
      </c>
      <c r="R27">
        <f>Q85-Q27</f>
        <v>2.7147980078140677E-2</v>
      </c>
      <c r="S27">
        <f t="shared" si="1"/>
        <v>5.230691445327837</v>
      </c>
      <c r="T27">
        <f t="shared" si="2"/>
        <v>1.3835990267900171</v>
      </c>
      <c r="U27">
        <f t="shared" si="3"/>
        <v>0.43339899647764307</v>
      </c>
      <c r="Y27">
        <v>3.6115154823278401</v>
      </c>
      <c r="Z27">
        <v>3.8753506961317101</v>
      </c>
      <c r="AA27">
        <f t="shared" si="4"/>
        <v>-0.26383521380386998</v>
      </c>
      <c r="AB27">
        <f t="shared" si="5"/>
        <v>1.38359478619613</v>
      </c>
      <c r="AC27">
        <f t="shared" si="6"/>
        <v>0.46651340479062453</v>
      </c>
      <c r="AE27">
        <v>24170</v>
      </c>
      <c r="AF27">
        <f t="shared" si="7"/>
        <v>4.3832766504076508</v>
      </c>
      <c r="AG27">
        <f>AF85-AF27</f>
        <v>-0.92858420116817397</v>
      </c>
      <c r="AH27">
        <f t="shared" si="8"/>
        <v>4.087295182845569</v>
      </c>
      <c r="AI27">
        <f t="shared" si="9"/>
        <v>0.91282883590811892</v>
      </c>
      <c r="AJ27">
        <f t="shared" si="10"/>
        <v>0.36016052376316127</v>
      </c>
    </row>
    <row r="28" spans="1:36" x14ac:dyDescent="0.4">
      <c r="A28">
        <v>27</v>
      </c>
      <c r="B28" t="s">
        <v>33</v>
      </c>
      <c r="C28">
        <v>25</v>
      </c>
      <c r="D28" t="s">
        <v>35</v>
      </c>
      <c r="E28">
        <v>25</v>
      </c>
      <c r="F28" t="s">
        <v>29</v>
      </c>
      <c r="G28">
        <v>10</v>
      </c>
      <c r="H28">
        <v>38.5</v>
      </c>
      <c r="I28" s="4" t="s">
        <v>30</v>
      </c>
      <c r="J28">
        <v>1.5</v>
      </c>
      <c r="K28">
        <v>50</v>
      </c>
      <c r="L28">
        <v>137.5</v>
      </c>
      <c r="M28">
        <v>7.0400000000000004E-2</v>
      </c>
      <c r="N28">
        <v>-7.3659999999999997</v>
      </c>
      <c r="P28">
        <v>168500</v>
      </c>
      <c r="Q28">
        <f t="shared" si="0"/>
        <v>5.2265999052073573</v>
      </c>
      <c r="R28" s="76">
        <f>(R25+R26+R27)/3</f>
        <v>7.242949564937895E-2</v>
      </c>
      <c r="S28">
        <f t="shared" si="1"/>
        <v>5.2990294012073571</v>
      </c>
      <c r="T28">
        <f t="shared" si="2"/>
        <v>1.4519369826695372</v>
      </c>
      <c r="U28">
        <f t="shared" si="3"/>
        <v>0.45480519937750419</v>
      </c>
      <c r="V28" s="5"/>
      <c r="W28" s="5"/>
      <c r="X28" s="5"/>
      <c r="Y28">
        <v>3.6798534382073602</v>
      </c>
      <c r="Z28">
        <v>3.8753506961317101</v>
      </c>
      <c r="AA28">
        <f t="shared" si="4"/>
        <v>-0.19549725792434991</v>
      </c>
      <c r="AB28">
        <f t="shared" si="5"/>
        <v>1.45193274207565</v>
      </c>
      <c r="AC28">
        <f t="shared" si="6"/>
        <v>0.48955524680380136</v>
      </c>
      <c r="AE28" s="5">
        <v>58060</v>
      </c>
      <c r="AF28">
        <f t="shared" si="7"/>
        <v>4.7638770314956549</v>
      </c>
      <c r="AG28" s="76">
        <f>(AG25+AG26+AG27)/3</f>
        <v>-0.29598146756208193</v>
      </c>
      <c r="AH28">
        <f t="shared" si="8"/>
        <v>4.4678955639335731</v>
      </c>
      <c r="AI28">
        <f t="shared" si="9"/>
        <v>1.293429216996123</v>
      </c>
      <c r="AJ28">
        <f t="shared" si="10"/>
        <v>0.51032803294438078</v>
      </c>
    </row>
    <row r="29" spans="1:36" x14ac:dyDescent="0.4">
      <c r="A29">
        <v>28</v>
      </c>
      <c r="B29" t="s">
        <v>28</v>
      </c>
      <c r="C29">
        <v>25</v>
      </c>
      <c r="D29" t="s">
        <v>27</v>
      </c>
      <c r="E29">
        <v>25</v>
      </c>
      <c r="F29" t="s">
        <v>32</v>
      </c>
      <c r="G29">
        <v>10</v>
      </c>
      <c r="H29">
        <v>38.5</v>
      </c>
      <c r="I29" s="4" t="s">
        <v>30</v>
      </c>
      <c r="J29">
        <v>1.5</v>
      </c>
      <c r="K29">
        <v>50</v>
      </c>
      <c r="L29">
        <v>125.9</v>
      </c>
      <c r="M29">
        <v>3.0210000000000001E-2</v>
      </c>
      <c r="N29">
        <v>-2.339</v>
      </c>
      <c r="O29">
        <v>5.89</v>
      </c>
      <c r="P29">
        <v>85436.666666666701</v>
      </c>
      <c r="Q29">
        <f t="shared" si="0"/>
        <v>4.9316442959050706</v>
      </c>
      <c r="S29">
        <f t="shared" si="1"/>
        <v>5.0040737919050704</v>
      </c>
      <c r="T29">
        <f t="shared" si="2"/>
        <v>1.1569813733672505</v>
      </c>
      <c r="U29">
        <f t="shared" si="3"/>
        <v>0.36241321109052227</v>
      </c>
      <c r="Y29">
        <v>3.38489782890507</v>
      </c>
      <c r="Z29">
        <v>3.8753506961317101</v>
      </c>
      <c r="AA29">
        <f t="shared" si="4"/>
        <v>-0.49045286722664017</v>
      </c>
      <c r="AB29">
        <f t="shared" si="5"/>
        <v>1.1569771327733598</v>
      </c>
      <c r="AC29">
        <f t="shared" si="6"/>
        <v>0.3901036248907081</v>
      </c>
      <c r="AE29">
        <v>26463.333333333299</v>
      </c>
      <c r="AF29">
        <f t="shared" si="7"/>
        <v>4.4226445472247233</v>
      </c>
      <c r="AG29">
        <v>-0.29598146756208199</v>
      </c>
      <c r="AH29">
        <f t="shared" si="8"/>
        <v>4.1266630796626416</v>
      </c>
      <c r="AI29">
        <f t="shared" si="9"/>
        <v>0.95219673272519145</v>
      </c>
      <c r="AJ29">
        <f t="shared" si="10"/>
        <v>0.3756932959317632</v>
      </c>
    </row>
    <row r="30" spans="1:36" x14ac:dyDescent="0.4">
      <c r="A30">
        <v>29</v>
      </c>
      <c r="B30" t="s">
        <v>35</v>
      </c>
      <c r="C30">
        <v>33</v>
      </c>
      <c r="D30" t="s">
        <v>34</v>
      </c>
      <c r="E30">
        <v>33</v>
      </c>
      <c r="F30" t="s">
        <v>32</v>
      </c>
      <c r="G30">
        <v>30</v>
      </c>
      <c r="H30">
        <v>0</v>
      </c>
      <c r="I30" s="4" t="s">
        <v>30</v>
      </c>
      <c r="J30">
        <v>4</v>
      </c>
      <c r="K30">
        <v>66</v>
      </c>
      <c r="L30">
        <v>128.9</v>
      </c>
      <c r="M30">
        <v>0.47770000000000001</v>
      </c>
      <c r="N30">
        <v>0.25800000000000001</v>
      </c>
      <c r="P30">
        <v>92156.666666666701</v>
      </c>
      <c r="Q30">
        <f t="shared" si="0"/>
        <v>4.9645267578059853</v>
      </c>
      <c r="S30">
        <f t="shared" si="1"/>
        <v>5.0369562538059851</v>
      </c>
      <c r="T30">
        <f t="shared" si="2"/>
        <v>1.1898638352681652</v>
      </c>
      <c r="U30">
        <f t="shared" si="3"/>
        <v>0.37271332384980482</v>
      </c>
      <c r="Y30">
        <v>3.4177802908059798</v>
      </c>
      <c r="Z30">
        <v>3.8753506961317101</v>
      </c>
      <c r="AA30">
        <f t="shared" si="4"/>
        <v>-0.45757040532573034</v>
      </c>
      <c r="AB30">
        <f t="shared" si="5"/>
        <v>1.1898595946742696</v>
      </c>
      <c r="AC30">
        <f t="shared" si="6"/>
        <v>0.40119076500740763</v>
      </c>
      <c r="AE30">
        <v>65960</v>
      </c>
      <c r="AF30">
        <f t="shared" si="7"/>
        <v>4.8192806469724809</v>
      </c>
      <c r="AH30">
        <f t="shared" si="8"/>
        <v>4.5232991794103992</v>
      </c>
      <c r="AI30">
        <f t="shared" si="9"/>
        <v>1.3488328324729491</v>
      </c>
      <c r="AJ30">
        <f t="shared" si="10"/>
        <v>0.53218776653688415</v>
      </c>
    </row>
    <row r="31" spans="1:36" x14ac:dyDescent="0.4">
      <c r="A31">
        <v>30</v>
      </c>
      <c r="B31" t="s">
        <v>33</v>
      </c>
      <c r="C31">
        <v>33</v>
      </c>
      <c r="D31" t="s">
        <v>33</v>
      </c>
      <c r="E31">
        <v>33</v>
      </c>
      <c r="F31" t="s">
        <v>32</v>
      </c>
      <c r="G31">
        <v>30</v>
      </c>
      <c r="H31">
        <v>0</v>
      </c>
      <c r="I31" s="4" t="s">
        <v>30</v>
      </c>
      <c r="J31">
        <v>4</v>
      </c>
      <c r="K31">
        <v>66</v>
      </c>
      <c r="L31">
        <v>150.30000000000001</v>
      </c>
      <c r="M31">
        <v>0.1338</v>
      </c>
      <c r="N31">
        <v>-7.3879999999999999</v>
      </c>
      <c r="P31">
        <v>33153.333333333299</v>
      </c>
      <c r="Q31">
        <f t="shared" si="0"/>
        <v>4.5205272001765433</v>
      </c>
      <c r="S31">
        <f t="shared" si="1"/>
        <v>4.5929566961765431</v>
      </c>
      <c r="T31">
        <f t="shared" si="2"/>
        <v>0.74586427763872321</v>
      </c>
      <c r="U31">
        <f t="shared" si="3"/>
        <v>0.23363476207923359</v>
      </c>
      <c r="Y31">
        <v>2.97378073317654</v>
      </c>
      <c r="Z31">
        <v>3.8753506961317101</v>
      </c>
      <c r="AA31">
        <f t="shared" si="4"/>
        <v>-0.90156996295517011</v>
      </c>
      <c r="AB31">
        <f t="shared" si="5"/>
        <v>0.74586003704482984</v>
      </c>
      <c r="AC31">
        <f t="shared" si="6"/>
        <v>0.25148526783312197</v>
      </c>
      <c r="AE31">
        <v>16459</v>
      </c>
      <c r="AF31">
        <f t="shared" si="7"/>
        <v>4.2164034452337935</v>
      </c>
      <c r="AH31">
        <f t="shared" si="8"/>
        <v>3.9204219776717117</v>
      </c>
      <c r="AI31">
        <f t="shared" si="9"/>
        <v>0.74595563073426163</v>
      </c>
      <c r="AJ31">
        <f t="shared" si="10"/>
        <v>0.29431998650881075</v>
      </c>
    </row>
    <row r="32" spans="1:36" x14ac:dyDescent="0.4">
      <c r="A32">
        <v>31</v>
      </c>
      <c r="B32" t="s">
        <v>35</v>
      </c>
      <c r="C32">
        <v>33</v>
      </c>
      <c r="D32" t="s">
        <v>28</v>
      </c>
      <c r="E32">
        <v>33</v>
      </c>
      <c r="F32" t="s">
        <v>32</v>
      </c>
      <c r="G32">
        <v>30</v>
      </c>
      <c r="H32">
        <v>0</v>
      </c>
      <c r="I32" s="4" t="s">
        <v>30</v>
      </c>
      <c r="J32">
        <v>4</v>
      </c>
      <c r="K32">
        <v>66</v>
      </c>
      <c r="L32">
        <v>112.3</v>
      </c>
      <c r="M32">
        <v>0.15720000000000001</v>
      </c>
      <c r="N32">
        <v>-6.0670000000000002</v>
      </c>
      <c r="P32">
        <v>87953.333333333299</v>
      </c>
      <c r="Q32">
        <f t="shared" si="0"/>
        <v>4.9442523033823429</v>
      </c>
      <c r="S32">
        <f t="shared" si="1"/>
        <v>5.0166817993823427</v>
      </c>
      <c r="T32">
        <f t="shared" si="2"/>
        <v>1.1695893808445228</v>
      </c>
      <c r="U32">
        <f t="shared" si="3"/>
        <v>0.36636254733782342</v>
      </c>
      <c r="Y32">
        <v>3.39750583638234</v>
      </c>
      <c r="Z32">
        <v>3.8753506961317101</v>
      </c>
      <c r="AA32">
        <f t="shared" si="4"/>
        <v>-0.47784485974937008</v>
      </c>
      <c r="AB32">
        <f t="shared" si="5"/>
        <v>1.1695851402506299</v>
      </c>
      <c r="AC32">
        <f t="shared" si="6"/>
        <v>0.39435472828783608</v>
      </c>
      <c r="AE32">
        <v>13491.666666666701</v>
      </c>
      <c r="AF32">
        <f t="shared" si="7"/>
        <v>4.1300656027057503</v>
      </c>
      <c r="AH32">
        <f t="shared" si="8"/>
        <v>3.8340841351436685</v>
      </c>
      <c r="AI32">
        <f t="shared" si="9"/>
        <v>0.65961778820621841</v>
      </c>
      <c r="AJ32">
        <f t="shared" si="10"/>
        <v>0.26025502124667993</v>
      </c>
    </row>
    <row r="33" spans="1:36" x14ac:dyDescent="0.4">
      <c r="A33">
        <v>32</v>
      </c>
      <c r="B33" t="s">
        <v>31</v>
      </c>
      <c r="C33">
        <v>29</v>
      </c>
      <c r="D33" t="s">
        <v>31</v>
      </c>
      <c r="E33">
        <v>29</v>
      </c>
      <c r="F33" t="s">
        <v>29</v>
      </c>
      <c r="G33">
        <v>20</v>
      </c>
      <c r="H33">
        <v>19.25</v>
      </c>
      <c r="I33" s="4" t="s">
        <v>30</v>
      </c>
      <c r="J33">
        <v>2.75</v>
      </c>
      <c r="K33">
        <v>58</v>
      </c>
      <c r="L33">
        <v>87.94</v>
      </c>
      <c r="M33">
        <v>0.25169999999999998</v>
      </c>
      <c r="N33">
        <v>-5175</v>
      </c>
      <c r="P33">
        <v>19016.666666666701</v>
      </c>
      <c r="Q33">
        <f t="shared" si="0"/>
        <v>4.2791343940345721</v>
      </c>
      <c r="S33">
        <f t="shared" si="1"/>
        <v>4.3515638900345719</v>
      </c>
      <c r="T33">
        <f t="shared" si="2"/>
        <v>0.50447147149675198</v>
      </c>
      <c r="U33">
        <f t="shared" si="3"/>
        <v>0.15802080318424067</v>
      </c>
      <c r="Y33">
        <v>2.7323879270345701</v>
      </c>
      <c r="Z33">
        <v>3.8753506961317101</v>
      </c>
      <c r="AA33">
        <f t="shared" si="4"/>
        <v>-1.14296276909714</v>
      </c>
      <c r="AB33">
        <f t="shared" si="5"/>
        <v>0.50446723090285994</v>
      </c>
      <c r="AC33">
        <f t="shared" si="6"/>
        <v>0.1700936776010884</v>
      </c>
      <c r="AE33">
        <v>17961</v>
      </c>
      <c r="AF33">
        <f t="shared" si="7"/>
        <v>4.254330512865347</v>
      </c>
      <c r="AH33">
        <f t="shared" si="8"/>
        <v>3.9583490453032653</v>
      </c>
      <c r="AI33">
        <f t="shared" si="9"/>
        <v>0.78388269836581514</v>
      </c>
      <c r="AJ33">
        <f t="shared" si="10"/>
        <v>0.30928427335607256</v>
      </c>
    </row>
    <row r="34" spans="1:36" x14ac:dyDescent="0.4">
      <c r="A34">
        <v>33</v>
      </c>
      <c r="B34" t="s">
        <v>33</v>
      </c>
      <c r="C34">
        <v>29</v>
      </c>
      <c r="D34" t="s">
        <v>34</v>
      </c>
      <c r="E34">
        <v>29</v>
      </c>
      <c r="F34" t="s">
        <v>29</v>
      </c>
      <c r="G34">
        <v>20</v>
      </c>
      <c r="H34">
        <v>19.25</v>
      </c>
      <c r="I34" s="4" t="s">
        <v>30</v>
      </c>
      <c r="J34">
        <v>2.75</v>
      </c>
      <c r="K34">
        <v>58</v>
      </c>
      <c r="L34">
        <v>120.8</v>
      </c>
      <c r="M34">
        <v>0.22950000000000001</v>
      </c>
      <c r="N34">
        <v>-0.36349999999999999</v>
      </c>
      <c r="O34">
        <v>6.1</v>
      </c>
      <c r="P34">
        <v>17163.333333333299</v>
      </c>
      <c r="Q34">
        <f t="shared" ref="Q34:Q65" si="11">LOG10(P34)</f>
        <v>4.2346016371075716</v>
      </c>
      <c r="S34">
        <f t="shared" si="1"/>
        <v>4.3070311331075715</v>
      </c>
      <c r="T34">
        <f t="shared" si="2"/>
        <v>0.45993871456975155</v>
      </c>
      <c r="U34">
        <f t="shared" ref="U34:U65" si="12">T34/3.19243708</f>
        <v>0.14407134832857899</v>
      </c>
      <c r="V34" s="6"/>
      <c r="W34" s="6"/>
      <c r="X34" s="6"/>
      <c r="Y34">
        <v>2.6878551701075701</v>
      </c>
      <c r="Z34">
        <v>3.8753506961317101</v>
      </c>
      <c r="AA34">
        <f t="shared" si="4"/>
        <v>-1.18749552602414</v>
      </c>
      <c r="AB34">
        <f t="shared" si="5"/>
        <v>0.45993447397585996</v>
      </c>
      <c r="AC34">
        <f t="shared" si="6"/>
        <v>0.15507835066722186</v>
      </c>
      <c r="AE34" s="6">
        <v>43235.333333333299</v>
      </c>
      <c r="AF34">
        <f t="shared" si="7"/>
        <v>4.6358388116236391</v>
      </c>
      <c r="AH34">
        <f t="shared" si="8"/>
        <v>4.3398573440615573</v>
      </c>
      <c r="AI34">
        <f t="shared" si="9"/>
        <v>1.1653909971241072</v>
      </c>
      <c r="AJ34">
        <f t="shared" si="10"/>
        <v>0.45981000533964184</v>
      </c>
    </row>
    <row r="35" spans="1:36" x14ac:dyDescent="0.4">
      <c r="A35">
        <v>34</v>
      </c>
      <c r="B35" t="s">
        <v>28</v>
      </c>
      <c r="C35">
        <v>25</v>
      </c>
      <c r="D35" t="s">
        <v>35</v>
      </c>
      <c r="E35">
        <v>25</v>
      </c>
      <c r="F35" t="s">
        <v>29</v>
      </c>
      <c r="G35">
        <v>10</v>
      </c>
      <c r="H35">
        <v>38.5</v>
      </c>
      <c r="I35" s="4" t="s">
        <v>30</v>
      </c>
      <c r="J35">
        <v>1.5</v>
      </c>
      <c r="K35">
        <v>50</v>
      </c>
      <c r="L35"/>
      <c r="M35"/>
      <c r="N35">
        <v>-2.7869999999999999</v>
      </c>
      <c r="P35">
        <v>5952</v>
      </c>
      <c r="Q35">
        <f t="shared" si="11"/>
        <v>3.7746629225378223</v>
      </c>
      <c r="S35">
        <f t="shared" si="1"/>
        <v>3.8470924185378221</v>
      </c>
      <c r="T35">
        <f t="shared" si="2"/>
        <v>0</v>
      </c>
      <c r="U35">
        <f t="shared" si="12"/>
        <v>0</v>
      </c>
      <c r="Y35">
        <v>2.2279164555378199</v>
      </c>
      <c r="Z35">
        <v>3.8753506961317101</v>
      </c>
      <c r="AA35" s="44">
        <f t="shared" si="4"/>
        <v>-1.6474342405938902</v>
      </c>
      <c r="AB35">
        <f>AA35+1.647434242</f>
        <v>1.4061098951856366E-9</v>
      </c>
      <c r="AC35">
        <v>0</v>
      </c>
      <c r="AE35">
        <v>68083.333333333299</v>
      </c>
      <c r="AF35">
        <f t="shared" si="7"/>
        <v>4.8330408104847908</v>
      </c>
      <c r="AH35">
        <f t="shared" si="8"/>
        <v>4.5370593429227091</v>
      </c>
      <c r="AI35">
        <f t="shared" si="9"/>
        <v>1.362592995985259</v>
      </c>
      <c r="AJ35">
        <f t="shared" si="10"/>
        <v>0.53761689793886269</v>
      </c>
    </row>
    <row r="36" spans="1:36" x14ac:dyDescent="0.4">
      <c r="A36">
        <v>35</v>
      </c>
      <c r="B36" t="s">
        <v>35</v>
      </c>
      <c r="C36">
        <v>33</v>
      </c>
      <c r="D36" t="s">
        <v>35</v>
      </c>
      <c r="E36">
        <v>33</v>
      </c>
      <c r="F36" t="s">
        <v>29</v>
      </c>
      <c r="G36">
        <v>30</v>
      </c>
      <c r="H36">
        <v>0</v>
      </c>
      <c r="I36" s="4" t="s">
        <v>30</v>
      </c>
      <c r="J36">
        <v>4</v>
      </c>
      <c r="K36">
        <v>66</v>
      </c>
      <c r="L36"/>
      <c r="M36"/>
      <c r="N36">
        <v>-8.93</v>
      </c>
      <c r="P36">
        <v>29356.666666666701</v>
      </c>
      <c r="Q36">
        <f t="shared" si="11"/>
        <v>4.4677067416235543</v>
      </c>
      <c r="R36" t="s">
        <v>44</v>
      </c>
      <c r="S36">
        <f t="shared" si="1"/>
        <v>4.5401362376235541</v>
      </c>
      <c r="T36">
        <f t="shared" si="2"/>
        <v>0.6930438190857342</v>
      </c>
      <c r="U36">
        <f t="shared" si="12"/>
        <v>0.21708926494668274</v>
      </c>
      <c r="Y36">
        <v>2.9209602746235501</v>
      </c>
      <c r="Z36">
        <v>3.8753506961317101</v>
      </c>
      <c r="AA36">
        <f t="shared" si="4"/>
        <v>-0.95439042150816</v>
      </c>
      <c r="AB36">
        <f>AA36+1.64743</f>
        <v>0.69303957849183995</v>
      </c>
      <c r="AC36">
        <f>AB36/2.96582</f>
        <v>0.23367553610530645</v>
      </c>
      <c r="AE36">
        <v>7239</v>
      </c>
      <c r="AF36">
        <f t="shared" si="7"/>
        <v>3.8596785766284483</v>
      </c>
      <c r="AH36">
        <f t="shared" si="8"/>
        <v>3.5636971090663661</v>
      </c>
      <c r="AI36">
        <f t="shared" si="9"/>
        <v>0.38923076212891594</v>
      </c>
      <c r="AJ36">
        <f t="shared" si="10"/>
        <v>0.15357266295561595</v>
      </c>
    </row>
    <row r="37" spans="1:36" x14ac:dyDescent="0.4">
      <c r="A37">
        <v>36</v>
      </c>
      <c r="B37" t="s">
        <v>33</v>
      </c>
      <c r="C37">
        <v>25</v>
      </c>
      <c r="D37" t="s">
        <v>34</v>
      </c>
      <c r="E37">
        <v>25</v>
      </c>
      <c r="F37" t="s">
        <v>29</v>
      </c>
      <c r="G37">
        <v>10</v>
      </c>
      <c r="H37">
        <v>38.5</v>
      </c>
      <c r="I37" s="4" t="s">
        <v>30</v>
      </c>
      <c r="J37">
        <v>1.5</v>
      </c>
      <c r="K37">
        <v>50</v>
      </c>
      <c r="L37">
        <v>114.8</v>
      </c>
      <c r="M37">
        <v>0.24990000000000001</v>
      </c>
      <c r="N37">
        <v>-7.9259999999999997E-2</v>
      </c>
      <c r="O37">
        <v>5.82</v>
      </c>
      <c r="P37">
        <v>26783.333333333299</v>
      </c>
      <c r="Q37">
        <f t="shared" si="11"/>
        <v>4.4278646263797006</v>
      </c>
      <c r="R37">
        <f>Q148-Q41</f>
        <v>-0.66146543440801819</v>
      </c>
      <c r="S37">
        <f t="shared" si="1"/>
        <v>4.5002941223797004</v>
      </c>
      <c r="T37">
        <f t="shared" si="2"/>
        <v>0.65320170384188048</v>
      </c>
      <c r="U37">
        <f t="shared" si="12"/>
        <v>0.20460910817446104</v>
      </c>
      <c r="Y37">
        <v>2.8811181593797</v>
      </c>
      <c r="Z37">
        <v>3.8753506961317101</v>
      </c>
      <c r="AA37">
        <f t="shared" si="4"/>
        <v>-0.99423253675201018</v>
      </c>
      <c r="AB37">
        <f>AA37+1.64743</f>
        <v>0.65319746324798977</v>
      </c>
      <c r="AC37">
        <f>AB37/2.96582</f>
        <v>0.22024177571396436</v>
      </c>
      <c r="AE37">
        <v>14096.333333333299</v>
      </c>
      <c r="AF37">
        <f t="shared" si="7"/>
        <v>4.1491061608690272</v>
      </c>
      <c r="AH37">
        <f t="shared" si="8"/>
        <v>3.8531246933069454</v>
      </c>
      <c r="AI37">
        <f t="shared" si="9"/>
        <v>0.67865834636949529</v>
      </c>
      <c r="AJ37">
        <f t="shared" si="10"/>
        <v>0.26776755495625154</v>
      </c>
    </row>
    <row r="38" spans="1:36" x14ac:dyDescent="0.4">
      <c r="A38" s="7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7</v>
      </c>
      <c r="J38" s="3" t="s">
        <v>53</v>
      </c>
      <c r="K38" s="3" t="s">
        <v>9</v>
      </c>
      <c r="L38" s="2" t="s">
        <v>10</v>
      </c>
      <c r="M38" s="2" t="s">
        <v>11</v>
      </c>
      <c r="N38" s="2" t="s">
        <v>12</v>
      </c>
      <c r="O38" s="2"/>
      <c r="P38" s="2" t="s">
        <v>14</v>
      </c>
      <c r="Q38" t="e">
        <f t="shared" si="11"/>
        <v>#VALUE!</v>
      </c>
      <c r="R38" s="77">
        <f>1.18531722-R37</f>
        <v>1.8467826544080181</v>
      </c>
      <c r="U38">
        <f t="shared" si="12"/>
        <v>0</v>
      </c>
      <c r="V38" s="2"/>
      <c r="W38" s="2"/>
      <c r="X38" s="2"/>
      <c r="AE38" s="60" t="s">
        <v>25</v>
      </c>
    </row>
    <row r="39" spans="1:36" x14ac:dyDescent="0.4">
      <c r="A39" s="8" t="s">
        <v>54</v>
      </c>
      <c r="B39" s="9" t="s">
        <v>33</v>
      </c>
      <c r="C39" s="9">
        <v>46.4</v>
      </c>
      <c r="D39" s="9" t="s">
        <v>55</v>
      </c>
      <c r="E39" s="9">
        <v>11.6</v>
      </c>
      <c r="F39" s="9" t="s">
        <v>32</v>
      </c>
      <c r="G39" s="9">
        <v>15</v>
      </c>
      <c r="H39" s="9">
        <v>25.5</v>
      </c>
      <c r="I39" s="9" t="s">
        <v>30</v>
      </c>
      <c r="J39" s="9">
        <v>1.5</v>
      </c>
      <c r="K39" s="9">
        <v>58</v>
      </c>
      <c r="L39" s="9">
        <v>103.1</v>
      </c>
      <c r="M39" s="9">
        <v>0.1206</v>
      </c>
      <c r="N39" s="9">
        <v>-0.77590000000000003</v>
      </c>
      <c r="O39">
        <v>5.2409999999999997</v>
      </c>
      <c r="P39">
        <v>37410</v>
      </c>
      <c r="Q39">
        <f t="shared" si="11"/>
        <v>4.5729877081982053</v>
      </c>
      <c r="S39">
        <f t="shared" ref="S39:S58" si="13">Q39+1.18531722</f>
        <v>5.7583049281982053</v>
      </c>
      <c r="T39">
        <f t="shared" ref="T39:T79" si="14">S39-3.84709241853782</f>
        <v>1.9112125096603854</v>
      </c>
      <c r="U39">
        <f t="shared" si="12"/>
        <v>0.59866881061924815</v>
      </c>
      <c r="Y39">
        <v>4.27414881919821</v>
      </c>
      <c r="Z39">
        <v>3.8753506961317101</v>
      </c>
      <c r="AA39">
        <f t="shared" ref="AA39:AA58" si="15">Y39-Z39</f>
        <v>0.39879812306649987</v>
      </c>
      <c r="AB39">
        <f t="shared" ref="AB39:AB58" si="16">AA39+1.64743</f>
        <v>2.0462281230664998</v>
      </c>
      <c r="AC39">
        <f t="shared" ref="AC39:AC58" si="17">AB39/2.96582</f>
        <v>0.68993672005263296</v>
      </c>
      <c r="AE39">
        <v>506.26666666666671</v>
      </c>
      <c r="AF39">
        <f t="shared" ref="AF39:AF58" si="18">LOG10(AE39)</f>
        <v>2.704379333748097</v>
      </c>
      <c r="AH39">
        <f t="shared" ref="AH39:AH58" si="19">AF39+1.68185340162316</f>
        <v>4.3862327353712569</v>
      </c>
      <c r="AI39">
        <f t="shared" ref="AI39:AI58" si="20">AH39-3.17446634693745</f>
        <v>1.2117663884338068</v>
      </c>
      <c r="AJ39">
        <f t="shared" ref="AJ39:AJ58" si="21">AI39/2.53450552095595</f>
        <v>0.47810761444968553</v>
      </c>
    </row>
    <row r="40" spans="1:36" x14ac:dyDescent="0.4">
      <c r="A40" s="8" t="s">
        <v>56</v>
      </c>
      <c r="B40" s="9" t="s">
        <v>33</v>
      </c>
      <c r="C40" s="9">
        <v>49.4</v>
      </c>
      <c r="D40" s="9" t="s">
        <v>34</v>
      </c>
      <c r="E40" s="9">
        <v>12.35</v>
      </c>
      <c r="F40" s="9" t="s">
        <v>32</v>
      </c>
      <c r="G40" s="9">
        <v>15</v>
      </c>
      <c r="H40" s="9">
        <v>19.25</v>
      </c>
      <c r="I40" s="9" t="s">
        <v>57</v>
      </c>
      <c r="J40" s="9">
        <v>4</v>
      </c>
      <c r="K40" s="9">
        <v>61.75</v>
      </c>
      <c r="L40" s="9">
        <v>1003</v>
      </c>
      <c r="M40" s="9">
        <v>0.65329999999999999</v>
      </c>
      <c r="N40" s="9">
        <v>3.879</v>
      </c>
      <c r="O40">
        <v>5.5049999999999999</v>
      </c>
      <c r="P40">
        <v>35210</v>
      </c>
      <c r="Q40">
        <f t="shared" si="11"/>
        <v>4.5466660250701842</v>
      </c>
      <c r="S40">
        <f t="shared" si="13"/>
        <v>5.7319832450701842</v>
      </c>
      <c r="T40">
        <f t="shared" si="14"/>
        <v>1.8848908265323643</v>
      </c>
      <c r="U40">
        <f t="shared" si="12"/>
        <v>0.59042379827650804</v>
      </c>
      <c r="V40" s="5"/>
      <c r="W40" s="5"/>
      <c r="X40" s="5"/>
      <c r="Y40">
        <v>4.24782713607018</v>
      </c>
      <c r="Z40">
        <v>3.8753506961317101</v>
      </c>
      <c r="AA40">
        <f t="shared" si="15"/>
        <v>0.37247643993846991</v>
      </c>
      <c r="AB40">
        <f t="shared" si="16"/>
        <v>2.0199064399384699</v>
      </c>
      <c r="AC40">
        <f t="shared" si="17"/>
        <v>0.68106170972563063</v>
      </c>
      <c r="AE40" s="5">
        <v>512.63333333333333</v>
      </c>
      <c r="AF40">
        <f t="shared" si="18"/>
        <v>2.7098068422151047</v>
      </c>
      <c r="AH40">
        <f t="shared" si="19"/>
        <v>4.391660243838265</v>
      </c>
      <c r="AI40">
        <f t="shared" si="20"/>
        <v>1.2171938969008149</v>
      </c>
      <c r="AJ40">
        <f t="shared" si="21"/>
        <v>0.48024906114298804</v>
      </c>
    </row>
    <row r="41" spans="1:36" x14ac:dyDescent="0.4">
      <c r="A41" s="8" t="s">
        <v>58</v>
      </c>
      <c r="B41" s="9" t="s">
        <v>35</v>
      </c>
      <c r="C41" s="9">
        <v>11.38</v>
      </c>
      <c r="D41" s="9" t="s">
        <v>35</v>
      </c>
      <c r="E41" s="9">
        <v>21.12</v>
      </c>
      <c r="F41" s="9" t="s">
        <v>32</v>
      </c>
      <c r="G41" s="9">
        <v>25</v>
      </c>
      <c r="H41" s="9">
        <v>38.5</v>
      </c>
      <c r="I41" s="9" t="s">
        <v>30</v>
      </c>
      <c r="J41" s="9">
        <v>4</v>
      </c>
      <c r="K41" s="9">
        <v>32.5</v>
      </c>
      <c r="L41" s="9">
        <v>76.349999999999994</v>
      </c>
      <c r="M41" s="9">
        <v>0.14849999999999999</v>
      </c>
      <c r="N41" s="9">
        <v>-5.806</v>
      </c>
      <c r="O41">
        <v>5.3680000000000003</v>
      </c>
      <c r="P41">
        <v>11430.666666666701</v>
      </c>
      <c r="Q41" s="67">
        <f t="shared" si="11"/>
        <v>4.0580715603350352</v>
      </c>
      <c r="R41">
        <f>Q113-Q41</f>
        <v>-0.18508053495633403</v>
      </c>
      <c r="S41" s="67">
        <f t="shared" si="13"/>
        <v>5.2433887803350352</v>
      </c>
      <c r="T41">
        <f t="shared" si="14"/>
        <v>1.3962963617972153</v>
      </c>
      <c r="U41">
        <f t="shared" si="12"/>
        <v>0.43737631370865271</v>
      </c>
      <c r="Y41">
        <v>3.7592326713350399</v>
      </c>
      <c r="Z41">
        <v>3.8753506961317101</v>
      </c>
      <c r="AA41">
        <f t="shared" si="15"/>
        <v>-0.11611802479667022</v>
      </c>
      <c r="AB41">
        <f t="shared" si="16"/>
        <v>1.5313119752033297</v>
      </c>
      <c r="AC41">
        <f t="shared" si="17"/>
        <v>0.51631993013848776</v>
      </c>
      <c r="AE41">
        <v>1346.3</v>
      </c>
      <c r="AF41">
        <f t="shared" si="18"/>
        <v>3.1291418457922853</v>
      </c>
      <c r="AG41">
        <f>AF113-AF41</f>
        <v>1.6190203295824959</v>
      </c>
      <c r="AH41">
        <f t="shared" si="19"/>
        <v>4.8109952474154456</v>
      </c>
      <c r="AI41">
        <f t="shared" si="20"/>
        <v>1.6365289004779955</v>
      </c>
      <c r="AJ41">
        <f t="shared" si="21"/>
        <v>0.64569948139656808</v>
      </c>
    </row>
    <row r="42" spans="1:36" x14ac:dyDescent="0.4">
      <c r="A42" s="8" t="s">
        <v>59</v>
      </c>
      <c r="B42" s="9" t="s">
        <v>33</v>
      </c>
      <c r="C42" s="9">
        <v>37.700000000000003</v>
      </c>
      <c r="D42" s="9" t="s">
        <v>35</v>
      </c>
      <c r="E42" s="9">
        <v>20.3</v>
      </c>
      <c r="F42" s="9" t="s">
        <v>32</v>
      </c>
      <c r="G42" s="9">
        <v>15</v>
      </c>
      <c r="H42" s="9">
        <v>25.5</v>
      </c>
      <c r="I42" s="9" t="s">
        <v>57</v>
      </c>
      <c r="J42" s="9">
        <v>1.5</v>
      </c>
      <c r="K42" s="9">
        <v>58</v>
      </c>
      <c r="L42" s="9">
        <v>115.2</v>
      </c>
      <c r="M42" s="9">
        <v>0.1285</v>
      </c>
      <c r="N42" s="9">
        <v>-3.2320000000000002</v>
      </c>
      <c r="O42">
        <v>5.6269999999999998</v>
      </c>
      <c r="P42">
        <v>30846.666666666701</v>
      </c>
      <c r="Q42">
        <f t="shared" si="11"/>
        <v>4.4892082404442162</v>
      </c>
      <c r="R42" t="s">
        <v>60</v>
      </c>
      <c r="S42">
        <f t="shared" si="13"/>
        <v>5.6745254604442161</v>
      </c>
      <c r="T42">
        <f t="shared" si="14"/>
        <v>1.8274330419063962</v>
      </c>
      <c r="U42">
        <f t="shared" si="12"/>
        <v>0.57242570365909806</v>
      </c>
      <c r="V42" s="5"/>
      <c r="W42" s="5"/>
      <c r="X42" s="5"/>
      <c r="Y42" s="5">
        <v>4.19036935144422</v>
      </c>
      <c r="Z42">
        <v>3.8753506961317101</v>
      </c>
      <c r="AA42">
        <f t="shared" si="15"/>
        <v>0.31501865531250983</v>
      </c>
      <c r="AB42">
        <f t="shared" si="16"/>
        <v>1.9624486553125098</v>
      </c>
      <c r="AC42">
        <f t="shared" si="17"/>
        <v>0.66168838813970832</v>
      </c>
      <c r="AE42" s="5">
        <v>436.73333333333341</v>
      </c>
      <c r="AF42">
        <f t="shared" si="18"/>
        <v>2.6402163403762584</v>
      </c>
      <c r="AG42" t="s">
        <v>61</v>
      </c>
      <c r="AH42">
        <f t="shared" si="19"/>
        <v>4.3220697419994183</v>
      </c>
      <c r="AI42">
        <f t="shared" si="20"/>
        <v>1.1476033950619682</v>
      </c>
      <c r="AJ42">
        <f t="shared" si="21"/>
        <v>0.45279183082194341</v>
      </c>
    </row>
    <row r="43" spans="1:36" x14ac:dyDescent="0.4">
      <c r="A43" s="8" t="s">
        <v>62</v>
      </c>
      <c r="B43" s="9" t="s">
        <v>35</v>
      </c>
      <c r="C43" s="9">
        <v>7.7</v>
      </c>
      <c r="D43" s="9" t="s">
        <v>34</v>
      </c>
      <c r="E43" s="9">
        <v>14.3</v>
      </c>
      <c r="F43" s="9" t="s">
        <v>29</v>
      </c>
      <c r="G43" s="9">
        <v>50</v>
      </c>
      <c r="H43" s="9">
        <v>25.5</v>
      </c>
      <c r="I43" s="9" t="s">
        <v>30</v>
      </c>
      <c r="J43" s="9">
        <v>2.5</v>
      </c>
      <c r="K43" s="9">
        <v>22</v>
      </c>
      <c r="L43" s="9">
        <v>102.7</v>
      </c>
      <c r="M43" s="9">
        <v>0.22040000000000001</v>
      </c>
      <c r="N43" s="9">
        <v>-0.65639999999999998</v>
      </c>
      <c r="O43">
        <v>6.0880000000000001</v>
      </c>
      <c r="P43">
        <v>133543.33333333299</v>
      </c>
      <c r="Q43">
        <f t="shared" si="11"/>
        <v>5.1256222123213488</v>
      </c>
      <c r="R43" s="76">
        <f>1.18531722-R41</f>
        <v>1.370397754956334</v>
      </c>
      <c r="S43">
        <f t="shared" si="13"/>
        <v>6.3109394323213488</v>
      </c>
      <c r="T43">
        <f t="shared" si="14"/>
        <v>2.4638470137835289</v>
      </c>
      <c r="U43">
        <f t="shared" si="12"/>
        <v>0.7717762173666799</v>
      </c>
      <c r="Y43">
        <v>4.82678332332135</v>
      </c>
      <c r="Z43">
        <v>3.8753506961317101</v>
      </c>
      <c r="AA43">
        <f t="shared" si="15"/>
        <v>0.95143262718963983</v>
      </c>
      <c r="AB43">
        <f t="shared" si="16"/>
        <v>2.5988626271896398</v>
      </c>
      <c r="AC43">
        <f t="shared" si="17"/>
        <v>0.87627119217944438</v>
      </c>
      <c r="AE43">
        <v>1081.666666666667</v>
      </c>
      <c r="AF43">
        <f t="shared" si="18"/>
        <v>3.0340934464167257</v>
      </c>
      <c r="AG43">
        <f>-AG41+AG55</f>
        <v>6.283307204066424E-2</v>
      </c>
      <c r="AH43">
        <f t="shared" si="19"/>
        <v>4.7159468480398861</v>
      </c>
      <c r="AI43">
        <f t="shared" si="20"/>
        <v>1.541480501102436</v>
      </c>
      <c r="AJ43">
        <f t="shared" si="21"/>
        <v>0.60819772865242339</v>
      </c>
    </row>
    <row r="44" spans="1:36" x14ac:dyDescent="0.4">
      <c r="A44" s="8" t="s">
        <v>63</v>
      </c>
      <c r="B44" s="9" t="s">
        <v>33</v>
      </c>
      <c r="C44" s="9">
        <v>12.95</v>
      </c>
      <c r="D44" s="9" t="s">
        <v>34</v>
      </c>
      <c r="E44" s="9">
        <v>24.05</v>
      </c>
      <c r="F44" s="9" t="s">
        <v>29</v>
      </c>
      <c r="G44" s="9">
        <v>35</v>
      </c>
      <c r="H44" s="9">
        <v>25.5</v>
      </c>
      <c r="I44" s="9" t="s">
        <v>64</v>
      </c>
      <c r="J44" s="9">
        <v>2.5</v>
      </c>
      <c r="K44" s="9">
        <v>37</v>
      </c>
      <c r="L44" s="9">
        <v>107.8</v>
      </c>
      <c r="M44" s="9">
        <v>0.1888</v>
      </c>
      <c r="N44" s="9">
        <v>-0.81130000000000002</v>
      </c>
      <c r="O44">
        <v>5.6379999999999999</v>
      </c>
      <c r="P44">
        <v>63433.333333333299</v>
      </c>
      <c r="Q44">
        <f t="shared" si="11"/>
        <v>4.8023175335673578</v>
      </c>
      <c r="S44">
        <f t="shared" si="13"/>
        <v>5.9876347535673577</v>
      </c>
      <c r="T44">
        <f t="shared" si="14"/>
        <v>2.1405423350295378</v>
      </c>
      <c r="U44">
        <f t="shared" si="12"/>
        <v>0.67050415760411408</v>
      </c>
      <c r="V44" s="6"/>
      <c r="W44" s="6"/>
      <c r="X44" s="6"/>
      <c r="Y44">
        <v>4.5034786445673598</v>
      </c>
      <c r="Z44">
        <v>3.8753506961317101</v>
      </c>
      <c r="AA44">
        <f t="shared" si="15"/>
        <v>0.62812794843564967</v>
      </c>
      <c r="AB44">
        <f t="shared" si="16"/>
        <v>2.2755579484356496</v>
      </c>
      <c r="AC44">
        <f t="shared" si="17"/>
        <v>0.76726097620073019</v>
      </c>
      <c r="AE44" s="6">
        <v>4945.333333333333</v>
      </c>
      <c r="AF44">
        <f t="shared" si="18"/>
        <v>3.6941955699369102</v>
      </c>
      <c r="AH44">
        <f t="shared" si="19"/>
        <v>5.3760489715600706</v>
      </c>
      <c r="AI44">
        <f t="shared" si="20"/>
        <v>2.2015826246226204</v>
      </c>
      <c r="AJ44">
        <f t="shared" si="21"/>
        <v>0.86864384646999715</v>
      </c>
    </row>
    <row r="45" spans="1:36" x14ac:dyDescent="0.4">
      <c r="A45" s="8" t="s">
        <v>65</v>
      </c>
      <c r="B45" s="9" t="s">
        <v>33</v>
      </c>
      <c r="C45" s="9">
        <v>43.55</v>
      </c>
      <c r="D45" s="9" t="s">
        <v>34</v>
      </c>
      <c r="E45" s="9">
        <v>23.45</v>
      </c>
      <c r="F45" s="9" t="s">
        <v>32</v>
      </c>
      <c r="G45" s="9">
        <v>5</v>
      </c>
      <c r="H45" s="9">
        <v>25.5</v>
      </c>
      <c r="I45" s="9" t="s">
        <v>57</v>
      </c>
      <c r="J45" s="9">
        <v>2.5</v>
      </c>
      <c r="K45" s="9">
        <v>67</v>
      </c>
      <c r="L45" s="9">
        <v>466.2</v>
      </c>
      <c r="M45" s="9">
        <v>0.58750000000000002</v>
      </c>
      <c r="N45" s="9">
        <v>-3.8380000000000001</v>
      </c>
      <c r="O45">
        <v>5.556</v>
      </c>
      <c r="P45">
        <v>35156.666666666701</v>
      </c>
      <c r="Q45">
        <f t="shared" si="11"/>
        <v>4.5460076912908338</v>
      </c>
      <c r="S45">
        <f t="shared" si="13"/>
        <v>5.7313249112908338</v>
      </c>
      <c r="T45">
        <f t="shared" si="14"/>
        <v>1.8842324927530139</v>
      </c>
      <c r="U45">
        <f t="shared" si="12"/>
        <v>0.59021758159537918</v>
      </c>
      <c r="V45" s="6"/>
      <c r="W45" s="6"/>
      <c r="X45" s="6"/>
      <c r="Y45">
        <v>4.2471688022908296</v>
      </c>
      <c r="Z45">
        <v>3.8753506961317101</v>
      </c>
      <c r="AA45">
        <f t="shared" si="15"/>
        <v>0.37181810615911948</v>
      </c>
      <c r="AB45">
        <f t="shared" si="16"/>
        <v>2.0192481061591194</v>
      </c>
      <c r="AC45">
        <f t="shared" si="17"/>
        <v>0.68083973611315574</v>
      </c>
      <c r="AE45" s="6">
        <v>2688.666666666667</v>
      </c>
      <c r="AF45">
        <f t="shared" si="18"/>
        <v>3.4295369629519374</v>
      </c>
      <c r="AH45">
        <f t="shared" si="19"/>
        <v>5.1113903645750973</v>
      </c>
      <c r="AI45">
        <f t="shared" si="20"/>
        <v>1.9369240176376472</v>
      </c>
      <c r="AJ45">
        <f t="shared" si="21"/>
        <v>0.76422166044723761</v>
      </c>
    </row>
    <row r="46" spans="1:36" x14ac:dyDescent="0.4">
      <c r="A46" s="8" t="s">
        <v>66</v>
      </c>
      <c r="B46" s="9" t="s">
        <v>33</v>
      </c>
      <c r="C46" s="9">
        <v>20.75</v>
      </c>
      <c r="D46" s="9" t="s">
        <v>34</v>
      </c>
      <c r="E46" s="9">
        <v>20.75</v>
      </c>
      <c r="F46" s="9" t="s">
        <v>29</v>
      </c>
      <c r="G46" s="9">
        <v>25</v>
      </c>
      <c r="H46" s="9">
        <v>32</v>
      </c>
      <c r="I46" s="9" t="s">
        <v>57</v>
      </c>
      <c r="J46" s="9">
        <v>1.5</v>
      </c>
      <c r="K46" s="9">
        <v>41.5</v>
      </c>
      <c r="L46" s="9">
        <v>610.1</v>
      </c>
      <c r="M46" s="9">
        <v>0.49880000000000002</v>
      </c>
      <c r="N46" s="9">
        <v>-2.6520000000000001</v>
      </c>
      <c r="O46" s="77">
        <v>4.3250000000000002</v>
      </c>
      <c r="P46">
        <v>7171.3333333333303</v>
      </c>
      <c r="Q46">
        <f t="shared" si="11"/>
        <v>3.8555999095694649</v>
      </c>
      <c r="S46">
        <f t="shared" si="13"/>
        <v>5.0409171295694648</v>
      </c>
      <c r="T46">
        <f t="shared" si="14"/>
        <v>1.1938247110316449</v>
      </c>
      <c r="U46">
        <f t="shared" si="12"/>
        <v>0.37395402982590498</v>
      </c>
      <c r="V46" s="6"/>
      <c r="W46" s="6"/>
      <c r="X46" s="6"/>
      <c r="Y46">
        <v>3.5567610205694602</v>
      </c>
      <c r="Z46">
        <v>3.8753506961317101</v>
      </c>
      <c r="AA46">
        <f t="shared" si="15"/>
        <v>-0.31858967556224993</v>
      </c>
      <c r="AB46">
        <f t="shared" si="16"/>
        <v>1.32884032443775</v>
      </c>
      <c r="AC46">
        <f t="shared" si="17"/>
        <v>0.44805157576580845</v>
      </c>
      <c r="AE46" s="6">
        <v>634.9</v>
      </c>
      <c r="AF46">
        <f t="shared" si="18"/>
        <v>2.802705327074352</v>
      </c>
      <c r="AH46">
        <f t="shared" si="19"/>
        <v>4.4845587286975119</v>
      </c>
      <c r="AI46">
        <f t="shared" si="20"/>
        <v>1.3100923817600618</v>
      </c>
      <c r="AJ46">
        <f t="shared" si="21"/>
        <v>0.51690255591391598</v>
      </c>
    </row>
    <row r="47" spans="1:36" x14ac:dyDescent="0.4">
      <c r="A47" s="8" t="s">
        <v>67</v>
      </c>
      <c r="B47" s="9" t="s">
        <v>35</v>
      </c>
      <c r="C47" s="9">
        <v>12.95</v>
      </c>
      <c r="D47" s="9" t="s">
        <v>34</v>
      </c>
      <c r="E47" s="9">
        <v>24.05</v>
      </c>
      <c r="F47" s="9" t="s">
        <v>29</v>
      </c>
      <c r="G47" s="9">
        <v>35</v>
      </c>
      <c r="H47" s="9">
        <v>25.5</v>
      </c>
      <c r="I47" s="9" t="s">
        <v>57</v>
      </c>
      <c r="J47" s="9">
        <v>2.5</v>
      </c>
      <c r="K47" s="9">
        <v>37</v>
      </c>
      <c r="L47" s="9">
        <v>500.7</v>
      </c>
      <c r="M47" s="9">
        <v>0.45</v>
      </c>
      <c r="N47" s="9">
        <v>-3.488</v>
      </c>
      <c r="O47">
        <v>6.16</v>
      </c>
      <c r="P47">
        <v>6408.3333333333303</v>
      </c>
      <c r="Q47">
        <f t="shared" si="11"/>
        <v>3.8067450937538059</v>
      </c>
      <c r="S47">
        <f t="shared" si="13"/>
        <v>4.9920623137538058</v>
      </c>
      <c r="T47">
        <f t="shared" si="14"/>
        <v>1.1449698952159859</v>
      </c>
      <c r="U47">
        <f t="shared" si="12"/>
        <v>0.35865073187784985</v>
      </c>
      <c r="Y47">
        <v>3.5079062047538101</v>
      </c>
      <c r="Z47">
        <v>3.8753506961317101</v>
      </c>
      <c r="AA47">
        <f t="shared" si="15"/>
        <v>-0.36744449137790003</v>
      </c>
      <c r="AB47">
        <f t="shared" si="16"/>
        <v>1.2799855086220999</v>
      </c>
      <c r="AC47">
        <f t="shared" si="17"/>
        <v>0.43157895914859973</v>
      </c>
      <c r="AE47">
        <v>1236.866666666667</v>
      </c>
      <c r="AF47">
        <f t="shared" si="18"/>
        <v>3.0923228855208613</v>
      </c>
      <c r="AH47">
        <f t="shared" si="19"/>
        <v>4.7741762871440212</v>
      </c>
      <c r="AI47">
        <f t="shared" si="20"/>
        <v>1.5997099402065711</v>
      </c>
      <c r="AJ47">
        <f t="shared" si="21"/>
        <v>0.63117240305051758</v>
      </c>
    </row>
    <row r="48" spans="1:36" x14ac:dyDescent="0.4">
      <c r="A48" s="8" t="s">
        <v>68</v>
      </c>
      <c r="B48" s="9" t="s">
        <v>35</v>
      </c>
      <c r="C48" s="9">
        <v>18.38</v>
      </c>
      <c r="D48" s="9" t="s">
        <v>35</v>
      </c>
      <c r="E48" s="9">
        <v>34.119999999999997</v>
      </c>
      <c r="F48" s="9" t="s">
        <v>29</v>
      </c>
      <c r="G48" s="9">
        <v>5</v>
      </c>
      <c r="H48" s="9">
        <v>38.5</v>
      </c>
      <c r="I48" s="9" t="s">
        <v>57</v>
      </c>
      <c r="J48" s="9">
        <v>4</v>
      </c>
      <c r="K48" s="9">
        <v>52.5</v>
      </c>
      <c r="L48" s="9">
        <v>1029</v>
      </c>
      <c r="M48" s="9">
        <v>0.58779999999999999</v>
      </c>
      <c r="N48" s="9">
        <v>-2.746</v>
      </c>
      <c r="O48" s="77">
        <v>4</v>
      </c>
      <c r="P48">
        <v>11139</v>
      </c>
      <c r="Q48">
        <f t="shared" si="11"/>
        <v>4.0468462039458215</v>
      </c>
      <c r="S48">
        <f t="shared" si="13"/>
        <v>5.2321634239458215</v>
      </c>
      <c r="T48">
        <f t="shared" si="14"/>
        <v>1.3850710054080015</v>
      </c>
      <c r="U48">
        <f t="shared" si="12"/>
        <v>0.43386007952520134</v>
      </c>
      <c r="Y48">
        <v>3.74800731494582</v>
      </c>
      <c r="Z48">
        <v>3.8753506961317101</v>
      </c>
      <c r="AA48">
        <f t="shared" si="15"/>
        <v>-0.12734338118589017</v>
      </c>
      <c r="AB48">
        <f t="shared" si="16"/>
        <v>1.5200866188141098</v>
      </c>
      <c r="AC48">
        <f t="shared" si="17"/>
        <v>0.51253502195484213</v>
      </c>
      <c r="AE48">
        <v>1265.2666666666671</v>
      </c>
      <c r="AF48">
        <f t="shared" si="18"/>
        <v>3.1021820667424866</v>
      </c>
      <c r="AH48">
        <f t="shared" si="19"/>
        <v>4.784035468365647</v>
      </c>
      <c r="AI48">
        <f t="shared" si="20"/>
        <v>1.6095691214281969</v>
      </c>
      <c r="AJ48">
        <f t="shared" si="21"/>
        <v>0.63506238519500591</v>
      </c>
    </row>
    <row r="49" spans="1:36" x14ac:dyDescent="0.4">
      <c r="A49" s="8" t="s">
        <v>69</v>
      </c>
      <c r="B49" s="9" t="s">
        <v>33</v>
      </c>
      <c r="C49" s="9">
        <v>13.38</v>
      </c>
      <c r="D49" s="9" t="s">
        <v>55</v>
      </c>
      <c r="E49" s="9">
        <v>13.38</v>
      </c>
      <c r="F49" s="9" t="s">
        <v>29</v>
      </c>
      <c r="G49" s="9">
        <v>50</v>
      </c>
      <c r="H49" s="9">
        <v>19.25</v>
      </c>
      <c r="I49" s="9" t="s">
        <v>30</v>
      </c>
      <c r="J49" s="9">
        <v>4</v>
      </c>
      <c r="K49" s="9">
        <v>26.75</v>
      </c>
      <c r="L49" s="9">
        <v>109.1</v>
      </c>
      <c r="M49" s="9">
        <v>0.22070000000000001</v>
      </c>
      <c r="N49" s="9">
        <v>-3.7290000000000001</v>
      </c>
      <c r="O49">
        <v>5.69</v>
      </c>
      <c r="P49">
        <v>34260</v>
      </c>
      <c r="Q49">
        <f t="shared" si="11"/>
        <v>4.534787358629492</v>
      </c>
      <c r="S49">
        <f t="shared" si="13"/>
        <v>5.720104578629492</v>
      </c>
      <c r="T49">
        <f t="shared" si="14"/>
        <v>1.873012160091672</v>
      </c>
      <c r="U49">
        <f t="shared" si="12"/>
        <v>0.58670292104603428</v>
      </c>
      <c r="Y49">
        <v>4.2359484696294896</v>
      </c>
      <c r="Z49">
        <v>3.8753506961317101</v>
      </c>
      <c r="AA49">
        <f t="shared" si="15"/>
        <v>0.36059777349777944</v>
      </c>
      <c r="AB49">
        <f t="shared" si="16"/>
        <v>2.0080277734977794</v>
      </c>
      <c r="AC49">
        <f t="shared" si="17"/>
        <v>0.67705652180435072</v>
      </c>
      <c r="AE49">
        <v>10644.33333333333</v>
      </c>
      <c r="AF49">
        <f t="shared" si="18"/>
        <v>4.0271184662702364</v>
      </c>
      <c r="AH49" s="77">
        <f t="shared" si="19"/>
        <v>5.7089718678933963</v>
      </c>
      <c r="AI49">
        <f t="shared" si="20"/>
        <v>2.5345055209559462</v>
      </c>
      <c r="AJ49">
        <f t="shared" si="21"/>
        <v>0.99999999999999845</v>
      </c>
    </row>
    <row r="50" spans="1:36" x14ac:dyDescent="0.4">
      <c r="A50" s="8" t="s">
        <v>70</v>
      </c>
      <c r="B50" s="9" t="s">
        <v>55</v>
      </c>
      <c r="C50" s="9">
        <v>7.7</v>
      </c>
      <c r="D50" s="9" t="s">
        <v>35</v>
      </c>
      <c r="E50" s="9">
        <v>14.3</v>
      </c>
      <c r="F50" s="9" t="s">
        <v>32</v>
      </c>
      <c r="G50" s="9">
        <v>50</v>
      </c>
      <c r="H50" s="9">
        <v>25.5</v>
      </c>
      <c r="I50" s="9" t="s">
        <v>64</v>
      </c>
      <c r="J50" s="9">
        <v>2.5</v>
      </c>
      <c r="K50" s="9">
        <v>22</v>
      </c>
      <c r="L50" s="9">
        <v>91.73</v>
      </c>
      <c r="M50" s="9">
        <v>0.20660000000000001</v>
      </c>
      <c r="N50" s="9">
        <v>-4.5579999999999998</v>
      </c>
      <c r="O50">
        <v>5.97</v>
      </c>
      <c r="P50">
        <v>85050</v>
      </c>
      <c r="Q50">
        <f t="shared" si="11"/>
        <v>4.9296743179485878</v>
      </c>
      <c r="S50">
        <f t="shared" si="13"/>
        <v>6.1149915379485877</v>
      </c>
      <c r="T50">
        <f t="shared" si="14"/>
        <v>2.2678991194107678</v>
      </c>
      <c r="U50">
        <f t="shared" si="12"/>
        <v>0.71039743699843505</v>
      </c>
      <c r="Y50">
        <v>4.6308354289485898</v>
      </c>
      <c r="Z50">
        <v>3.8753506961317101</v>
      </c>
      <c r="AA50">
        <f t="shared" si="15"/>
        <v>0.75548473281687967</v>
      </c>
      <c r="AB50">
        <f t="shared" si="16"/>
        <v>2.4029147328168796</v>
      </c>
      <c r="AC50">
        <f t="shared" si="17"/>
        <v>0.81020248457994071</v>
      </c>
      <c r="AE50">
        <v>1170.666666666667</v>
      </c>
      <c r="AF50">
        <f t="shared" si="18"/>
        <v>3.0684332525144025</v>
      </c>
      <c r="AH50">
        <f t="shared" si="19"/>
        <v>4.7502866541375628</v>
      </c>
      <c r="AI50">
        <f t="shared" si="20"/>
        <v>1.5758203072001127</v>
      </c>
      <c r="AJ50">
        <f t="shared" si="21"/>
        <v>0.62174664610939723</v>
      </c>
    </row>
    <row r="51" spans="1:36" x14ac:dyDescent="0.4">
      <c r="A51" s="8" t="s">
        <v>71</v>
      </c>
      <c r="B51" s="9" t="s">
        <v>55</v>
      </c>
      <c r="C51" s="9">
        <v>20.3</v>
      </c>
      <c r="D51" s="9" t="s">
        <v>55</v>
      </c>
      <c r="E51" s="9">
        <v>37.700000000000003</v>
      </c>
      <c r="F51" s="9" t="s">
        <v>32</v>
      </c>
      <c r="G51" s="9">
        <v>15</v>
      </c>
      <c r="H51" s="9">
        <v>25.5</v>
      </c>
      <c r="I51" s="9" t="s">
        <v>64</v>
      </c>
      <c r="J51" s="9">
        <v>1.5</v>
      </c>
      <c r="K51" s="9">
        <v>58</v>
      </c>
      <c r="L51" s="9">
        <v>277.39999999999998</v>
      </c>
      <c r="M51" s="9">
        <v>0.67179999999999995</v>
      </c>
      <c r="N51" s="9">
        <v>-0.43099999999999999</v>
      </c>
      <c r="O51">
        <v>5.64</v>
      </c>
      <c r="P51">
        <v>5612.3333333333303</v>
      </c>
      <c r="Q51">
        <f t="shared" si="11"/>
        <v>3.7491434571760309</v>
      </c>
      <c r="R51" t="s">
        <v>72</v>
      </c>
      <c r="S51">
        <f t="shared" si="13"/>
        <v>4.9344606771760304</v>
      </c>
      <c r="T51">
        <f t="shared" si="14"/>
        <v>1.0873682586382105</v>
      </c>
      <c r="U51">
        <f t="shared" si="12"/>
        <v>0.34060757702958722</v>
      </c>
      <c r="Y51">
        <v>3.4503045681760298</v>
      </c>
      <c r="Z51">
        <v>3.8753506961317101</v>
      </c>
      <c r="AA51">
        <f t="shared" si="15"/>
        <v>-0.42504612795568031</v>
      </c>
      <c r="AB51">
        <f t="shared" si="16"/>
        <v>1.2223838720443196</v>
      </c>
      <c r="AC51">
        <f t="shared" si="17"/>
        <v>0.41215713429821083</v>
      </c>
      <c r="AE51">
        <v>117.3933333333334</v>
      </c>
      <c r="AF51">
        <f t="shared" si="18"/>
        <v>2.0696434344009047</v>
      </c>
      <c r="AG51" t="s">
        <v>73</v>
      </c>
      <c r="AH51">
        <f t="shared" si="19"/>
        <v>3.7514968360240646</v>
      </c>
      <c r="AI51">
        <f t="shared" si="20"/>
        <v>0.57703048908661447</v>
      </c>
      <c r="AJ51">
        <f t="shared" si="21"/>
        <v>0.22766984893722916</v>
      </c>
    </row>
    <row r="52" spans="1:36" x14ac:dyDescent="0.4">
      <c r="A52" s="74" t="s">
        <v>74</v>
      </c>
      <c r="B52" s="9" t="s">
        <v>35</v>
      </c>
      <c r="C52" s="9">
        <v>35.200000000000003</v>
      </c>
      <c r="D52" s="9" t="s">
        <v>35</v>
      </c>
      <c r="E52" s="9">
        <v>8.8000000000000007</v>
      </c>
      <c r="F52" s="9" t="s">
        <v>29</v>
      </c>
      <c r="G52" s="9">
        <v>15</v>
      </c>
      <c r="H52" s="9">
        <v>38.5</v>
      </c>
      <c r="I52" s="9" t="s">
        <v>57</v>
      </c>
      <c r="J52" s="9">
        <v>2.5</v>
      </c>
      <c r="K52" s="9">
        <v>44</v>
      </c>
      <c r="L52" s="9">
        <v>2184</v>
      </c>
      <c r="M52" s="9">
        <v>0.70899999999999996</v>
      </c>
      <c r="N52" s="9">
        <v>-4.5890000000000004</v>
      </c>
      <c r="O52">
        <v>5.32</v>
      </c>
      <c r="P52">
        <v>11332.666666666701</v>
      </c>
      <c r="Q52" s="75">
        <f t="shared" si="11"/>
        <v>4.05433211483696</v>
      </c>
      <c r="R52">
        <f>Q81-Q52</f>
        <v>1.8235764868004241</v>
      </c>
      <c r="S52">
        <f t="shared" si="13"/>
        <v>5.2396493348369599</v>
      </c>
      <c r="T52">
        <f t="shared" si="14"/>
        <v>1.39255691629914</v>
      </c>
      <c r="U52">
        <f t="shared" si="12"/>
        <v>0.43620496861887725</v>
      </c>
      <c r="Y52" t="e">
        <v>#NUM!</v>
      </c>
      <c r="Z52">
        <v>3.8753506961317101</v>
      </c>
      <c r="AA52" t="e">
        <f t="shared" si="15"/>
        <v>#NUM!</v>
      </c>
      <c r="AB52" t="e">
        <f t="shared" si="16"/>
        <v>#NUM!</v>
      </c>
      <c r="AC52" t="e">
        <f t="shared" si="17"/>
        <v>#NUM!</v>
      </c>
      <c r="AE52">
        <v>345.43333333333339</v>
      </c>
      <c r="AF52">
        <f t="shared" si="18"/>
        <v>2.5383642434347924</v>
      </c>
      <c r="AG52">
        <f>AF81-AF52</f>
        <v>1.7125434562660637</v>
      </c>
      <c r="AH52">
        <f t="shared" si="19"/>
        <v>4.2202176450579527</v>
      </c>
      <c r="AI52">
        <f t="shared" si="20"/>
        <v>1.0457512981205026</v>
      </c>
      <c r="AJ52">
        <f t="shared" si="21"/>
        <v>0.41260565008596711</v>
      </c>
    </row>
    <row r="53" spans="1:36" x14ac:dyDescent="0.4">
      <c r="A53" s="74" t="s">
        <v>75</v>
      </c>
      <c r="B53" s="9" t="s">
        <v>35</v>
      </c>
      <c r="C53" s="9">
        <v>17.149999999999999</v>
      </c>
      <c r="D53" s="9" t="s">
        <v>34</v>
      </c>
      <c r="E53" s="9">
        <v>31.85</v>
      </c>
      <c r="F53" s="9" t="s">
        <v>32</v>
      </c>
      <c r="G53" s="9">
        <v>15</v>
      </c>
      <c r="H53" s="9">
        <v>32</v>
      </c>
      <c r="I53" s="9" t="s">
        <v>57</v>
      </c>
      <c r="J53" s="9">
        <v>4</v>
      </c>
      <c r="K53" s="9">
        <v>49</v>
      </c>
      <c r="L53" s="9">
        <v>5045</v>
      </c>
      <c r="M53" s="9">
        <v>1</v>
      </c>
      <c r="N53" s="9">
        <v>11.72</v>
      </c>
      <c r="O53">
        <v>6.43</v>
      </c>
      <c r="P53">
        <v>38670</v>
      </c>
      <c r="Q53" s="75">
        <f t="shared" si="11"/>
        <v>4.5873741720730656</v>
      </c>
      <c r="R53">
        <f>Q82-Q53</f>
        <v>0.54705795282277414</v>
      </c>
      <c r="S53">
        <f t="shared" si="13"/>
        <v>5.7726913920730656</v>
      </c>
      <c r="T53">
        <f t="shared" si="14"/>
        <v>1.9255989735352457</v>
      </c>
      <c r="U53">
        <f t="shared" si="12"/>
        <v>0.60317523111066162</v>
      </c>
      <c r="Y53">
        <v>4.2885352830730703</v>
      </c>
      <c r="Z53">
        <v>3.8753506961317101</v>
      </c>
      <c r="AA53">
        <f t="shared" si="15"/>
        <v>0.41318458694136018</v>
      </c>
      <c r="AB53">
        <f t="shared" si="16"/>
        <v>2.0606145869413601</v>
      </c>
      <c r="AC53">
        <f t="shared" si="17"/>
        <v>0.69478747427064358</v>
      </c>
      <c r="AE53">
        <v>755.33333333333337</v>
      </c>
      <c r="AF53">
        <f t="shared" si="18"/>
        <v>2.878138650807716</v>
      </c>
      <c r="AG53">
        <f>AF82-AF53</f>
        <v>1.6511633469802645</v>
      </c>
      <c r="AH53">
        <f t="shared" si="19"/>
        <v>4.5599920524308759</v>
      </c>
      <c r="AI53">
        <f t="shared" si="20"/>
        <v>1.3855257054934258</v>
      </c>
      <c r="AJ53">
        <f t="shared" si="21"/>
        <v>0.54666509661846829</v>
      </c>
    </row>
    <row r="54" spans="1:36" x14ac:dyDescent="0.4">
      <c r="A54" s="8" t="s">
        <v>76</v>
      </c>
      <c r="B54" s="9" t="s">
        <v>55</v>
      </c>
      <c r="C54" s="9">
        <v>14.5</v>
      </c>
      <c r="D54" s="9" t="s">
        <v>35</v>
      </c>
      <c r="E54" s="9">
        <v>14.5</v>
      </c>
      <c r="F54" s="9" t="s">
        <v>32</v>
      </c>
      <c r="G54" s="9">
        <v>35</v>
      </c>
      <c r="H54" s="9">
        <v>32</v>
      </c>
      <c r="I54" s="9" t="s">
        <v>30</v>
      </c>
      <c r="J54" s="9">
        <v>4</v>
      </c>
      <c r="K54" s="9">
        <v>29</v>
      </c>
      <c r="L54" s="9">
        <v>202.2</v>
      </c>
      <c r="M54" s="9">
        <v>0.37609999999999999</v>
      </c>
      <c r="N54" s="9">
        <v>-0.91659999999999997</v>
      </c>
      <c r="O54">
        <v>5.88</v>
      </c>
      <c r="P54">
        <v>53926.666666666701</v>
      </c>
      <c r="Q54">
        <f t="shared" si="11"/>
        <v>4.7318035763606021</v>
      </c>
      <c r="R54" s="76">
        <f>(R52+R53)/2</f>
        <v>1.1853172198115991</v>
      </c>
      <c r="S54">
        <f t="shared" si="13"/>
        <v>5.9171207963606021</v>
      </c>
      <c r="T54">
        <f t="shared" si="14"/>
        <v>2.0700283778227822</v>
      </c>
      <c r="U54">
        <f t="shared" si="12"/>
        <v>0.64841634336072251</v>
      </c>
      <c r="Y54">
        <v>4.4329646873605997</v>
      </c>
      <c r="Z54">
        <v>3.8753506961317101</v>
      </c>
      <c r="AA54">
        <f t="shared" si="15"/>
        <v>0.55761399122888955</v>
      </c>
      <c r="AB54">
        <f t="shared" si="16"/>
        <v>2.2050439912288895</v>
      </c>
      <c r="AC54">
        <f t="shared" si="17"/>
        <v>0.74348544120307014</v>
      </c>
      <c r="AE54">
        <v>1016.533333333333</v>
      </c>
      <c r="AF54">
        <f t="shared" si="18"/>
        <v>3.0071216242385699</v>
      </c>
      <c r="AG54" s="76">
        <f>(AG52+AG53)/2</f>
        <v>1.6818534016231641</v>
      </c>
      <c r="AH54">
        <f t="shared" si="19"/>
        <v>4.6889750258617298</v>
      </c>
      <c r="AI54">
        <f t="shared" si="20"/>
        <v>1.5145086789242796</v>
      </c>
      <c r="AJ54">
        <f t="shared" si="21"/>
        <v>0.5975558807830279</v>
      </c>
    </row>
    <row r="55" spans="1:36" x14ac:dyDescent="0.4">
      <c r="A55" s="8" t="s">
        <v>77</v>
      </c>
      <c r="B55" s="9" t="s">
        <v>55</v>
      </c>
      <c r="C55" s="9">
        <v>30.55</v>
      </c>
      <c r="D55" s="9" t="s">
        <v>35</v>
      </c>
      <c r="E55" s="9">
        <v>16.45</v>
      </c>
      <c r="F55" s="9" t="s">
        <v>29</v>
      </c>
      <c r="G55" s="9">
        <v>25</v>
      </c>
      <c r="H55" s="9">
        <v>25.5</v>
      </c>
      <c r="I55" s="9" t="s">
        <v>30</v>
      </c>
      <c r="J55" s="9">
        <v>2.5</v>
      </c>
      <c r="K55" s="9">
        <v>47</v>
      </c>
      <c r="L55" s="9">
        <v>177.8</v>
      </c>
      <c r="M55" s="9">
        <v>0.19059999999999999</v>
      </c>
      <c r="N55" s="9">
        <v>-0.41699999999999998</v>
      </c>
      <c r="O55">
        <v>5.65</v>
      </c>
      <c r="P55">
        <v>139866.66666666701</v>
      </c>
      <c r="Q55">
        <f t="shared" si="11"/>
        <v>5.1457142248018588</v>
      </c>
      <c r="S55">
        <f t="shared" si="13"/>
        <v>6.3310314448018588</v>
      </c>
      <c r="T55">
        <f t="shared" si="14"/>
        <v>2.4839390262640388</v>
      </c>
      <c r="U55">
        <f t="shared" si="12"/>
        <v>0.77806984570672855</v>
      </c>
      <c r="Y55">
        <v>4.8468753358018599</v>
      </c>
      <c r="Z55">
        <v>3.8753506961317101</v>
      </c>
      <c r="AA55">
        <f t="shared" si="15"/>
        <v>0.97152463967014979</v>
      </c>
      <c r="AB55">
        <f t="shared" si="16"/>
        <v>2.6189546396701497</v>
      </c>
      <c r="AC55">
        <f t="shared" si="17"/>
        <v>0.88304571405889432</v>
      </c>
      <c r="AE55">
        <v>4537.333333333333</v>
      </c>
      <c r="AF55">
        <f t="shared" si="18"/>
        <v>3.6568006857041095</v>
      </c>
      <c r="AG55">
        <v>1.6818534016231601</v>
      </c>
      <c r="AH55">
        <f t="shared" si="19"/>
        <v>5.3386540873272699</v>
      </c>
      <c r="AI55">
        <f t="shared" si="20"/>
        <v>2.1641877403898198</v>
      </c>
      <c r="AJ55">
        <f t="shared" si="21"/>
        <v>0.8538895348602531</v>
      </c>
    </row>
    <row r="56" spans="1:36" x14ac:dyDescent="0.4">
      <c r="A56" s="8" t="s">
        <v>78</v>
      </c>
      <c r="B56" s="9" t="s">
        <v>55</v>
      </c>
      <c r="C56" s="9">
        <v>24.4</v>
      </c>
      <c r="D56" s="9" t="s">
        <v>35</v>
      </c>
      <c r="E56" s="9">
        <v>6.1</v>
      </c>
      <c r="F56" s="9" t="s">
        <v>29</v>
      </c>
      <c r="G56" s="9">
        <v>35</v>
      </c>
      <c r="H56" s="9">
        <v>32</v>
      </c>
      <c r="I56" s="9" t="s">
        <v>30</v>
      </c>
      <c r="J56" s="9">
        <v>2.5</v>
      </c>
      <c r="K56" s="9">
        <v>30.5</v>
      </c>
      <c r="L56" s="9">
        <v>115.7</v>
      </c>
      <c r="M56" s="9">
        <v>0.16819999999999999</v>
      </c>
      <c r="N56" s="9">
        <v>-1.909</v>
      </c>
      <c r="O56">
        <v>5.68</v>
      </c>
      <c r="P56">
        <v>119433.33333333299</v>
      </c>
      <c r="Q56">
        <f t="shared" si="11"/>
        <v>5.0771255534464466</v>
      </c>
      <c r="S56">
        <f t="shared" si="13"/>
        <v>6.2624427734464465</v>
      </c>
      <c r="T56">
        <f t="shared" si="14"/>
        <v>2.4153503549086266</v>
      </c>
      <c r="U56">
        <f t="shared" si="12"/>
        <v>0.75658510861195316</v>
      </c>
      <c r="Y56">
        <v>4.7782866644464503</v>
      </c>
      <c r="Z56">
        <v>3.8753506961317101</v>
      </c>
      <c r="AA56">
        <f t="shared" si="15"/>
        <v>0.90293596831474021</v>
      </c>
      <c r="AB56">
        <f t="shared" si="16"/>
        <v>2.5503659683147402</v>
      </c>
      <c r="AC56">
        <f t="shared" si="17"/>
        <v>0.85991933708544022</v>
      </c>
      <c r="AE56">
        <v>2325.333333333333</v>
      </c>
      <c r="AF56">
        <f t="shared" si="18"/>
        <v>3.3664852172048483</v>
      </c>
      <c r="AH56">
        <f t="shared" si="19"/>
        <v>5.0483386188280086</v>
      </c>
      <c r="AI56">
        <f t="shared" si="20"/>
        <v>1.8738722718905585</v>
      </c>
      <c r="AJ56">
        <f t="shared" si="21"/>
        <v>0.73934432432555208</v>
      </c>
    </row>
    <row r="57" spans="1:36" x14ac:dyDescent="0.4">
      <c r="A57" s="8" t="s">
        <v>79</v>
      </c>
      <c r="B57" s="9" t="s">
        <v>33</v>
      </c>
      <c r="C57" s="9">
        <v>8.75</v>
      </c>
      <c r="D57" s="9" t="s">
        <v>35</v>
      </c>
      <c r="E57" s="9">
        <v>16.25</v>
      </c>
      <c r="F57" s="9" t="s">
        <v>29</v>
      </c>
      <c r="G57" s="9">
        <v>35</v>
      </c>
      <c r="H57" s="9">
        <v>38.5</v>
      </c>
      <c r="I57" s="9" t="s">
        <v>64</v>
      </c>
      <c r="J57" s="9">
        <v>1.5</v>
      </c>
      <c r="K57" s="9">
        <v>25</v>
      </c>
      <c r="L57" s="9">
        <v>171.8</v>
      </c>
      <c r="M57" s="9">
        <v>0.26200000000000001</v>
      </c>
      <c r="N57" s="9">
        <v>-0.45950000000000002</v>
      </c>
      <c r="O57">
        <v>5.74</v>
      </c>
      <c r="P57">
        <v>135450</v>
      </c>
      <c r="Q57">
        <f t="shared" si="11"/>
        <v>5.1317790093691871</v>
      </c>
      <c r="S57">
        <f t="shared" si="13"/>
        <v>6.317096229369187</v>
      </c>
      <c r="T57">
        <f t="shared" si="14"/>
        <v>2.4700038108313671</v>
      </c>
      <c r="U57">
        <f t="shared" si="12"/>
        <v>0.77370477441997609</v>
      </c>
      <c r="Y57">
        <v>4.83294012036919</v>
      </c>
      <c r="Z57">
        <v>3.8753506961317101</v>
      </c>
      <c r="AA57">
        <f t="shared" si="15"/>
        <v>0.95758942423747984</v>
      </c>
      <c r="AB57">
        <f t="shared" si="16"/>
        <v>2.6050194242374798</v>
      </c>
      <c r="AC57">
        <f t="shared" si="17"/>
        <v>0.87834710947983352</v>
      </c>
      <c r="AE57">
        <v>3447.5666666666671</v>
      </c>
      <c r="AF57">
        <f t="shared" si="18"/>
        <v>3.5375126730162769</v>
      </c>
      <c r="AH57">
        <f t="shared" si="19"/>
        <v>5.2193660746394368</v>
      </c>
      <c r="AI57">
        <f t="shared" si="20"/>
        <v>2.0448997277019867</v>
      </c>
      <c r="AJ57">
        <f t="shared" si="21"/>
        <v>0.80682393894754789</v>
      </c>
    </row>
    <row r="58" spans="1:36" x14ac:dyDescent="0.4">
      <c r="A58" s="81" t="s">
        <v>80</v>
      </c>
      <c r="B58" s="9" t="s">
        <v>35</v>
      </c>
      <c r="C58" s="9">
        <v>13.33</v>
      </c>
      <c r="D58" s="9" t="s">
        <v>34</v>
      </c>
      <c r="E58" s="9">
        <v>7.17</v>
      </c>
      <c r="F58" s="9" t="s">
        <v>29</v>
      </c>
      <c r="G58" s="9">
        <v>50</v>
      </c>
      <c r="H58" s="9">
        <v>25.5</v>
      </c>
      <c r="I58" s="9" t="s">
        <v>30</v>
      </c>
      <c r="J58" s="9">
        <v>4</v>
      </c>
      <c r="K58" s="9">
        <v>20.5</v>
      </c>
      <c r="L58" s="9">
        <v>116.1</v>
      </c>
      <c r="M58" s="9">
        <v>0.25480000000000003</v>
      </c>
      <c r="N58" s="9">
        <v>-1.5569999999999999</v>
      </c>
      <c r="O58">
        <v>5.91</v>
      </c>
      <c r="P58">
        <v>49853.333333333299</v>
      </c>
      <c r="Q58">
        <f t="shared" si="11"/>
        <v>4.697694201762519</v>
      </c>
      <c r="S58">
        <f t="shared" si="13"/>
        <v>5.8830114217625189</v>
      </c>
      <c r="T58">
        <f t="shared" si="14"/>
        <v>2.035919003224699</v>
      </c>
      <c r="U58">
        <f t="shared" si="12"/>
        <v>0.63773191208037816</v>
      </c>
      <c r="Y58">
        <v>4.3988553127625201</v>
      </c>
      <c r="Z58">
        <v>3.8753506961317101</v>
      </c>
      <c r="AA58">
        <f t="shared" si="15"/>
        <v>0.52350461663080994</v>
      </c>
      <c r="AB58">
        <f t="shared" si="16"/>
        <v>2.1709346166308099</v>
      </c>
      <c r="AC58">
        <f t="shared" si="17"/>
        <v>0.73198461694600814</v>
      </c>
      <c r="AE58">
        <v>1084.866666666667</v>
      </c>
      <c r="AF58">
        <f t="shared" si="18"/>
        <v>3.0353763653834607</v>
      </c>
      <c r="AH58">
        <f t="shared" si="19"/>
        <v>4.7172297670066206</v>
      </c>
      <c r="AI58">
        <f t="shared" si="20"/>
        <v>1.5427634200691704</v>
      </c>
      <c r="AJ58">
        <f t="shared" si="21"/>
        <v>0.60870390982114719</v>
      </c>
    </row>
    <row r="59" spans="1:36" x14ac:dyDescent="0.4">
      <c r="A59" s="7" t="s">
        <v>45</v>
      </c>
      <c r="B59" s="3" t="s">
        <v>46</v>
      </c>
      <c r="C59" s="3" t="s">
        <v>47</v>
      </c>
      <c r="D59" s="3" t="s">
        <v>48</v>
      </c>
      <c r="E59" s="3" t="s">
        <v>49</v>
      </c>
      <c r="F59" s="3" t="s">
        <v>50</v>
      </c>
      <c r="G59" s="3" t="s">
        <v>51</v>
      </c>
      <c r="H59" s="3" t="s">
        <v>52</v>
      </c>
      <c r="I59" s="3" t="s">
        <v>7</v>
      </c>
      <c r="J59" s="3" t="s">
        <v>53</v>
      </c>
      <c r="K59" s="2" t="s">
        <v>9</v>
      </c>
      <c r="L59" s="2" t="s">
        <v>10</v>
      </c>
      <c r="M59" s="2" t="s">
        <v>11</v>
      </c>
      <c r="N59" s="2" t="s">
        <v>12</v>
      </c>
      <c r="P59" s="2" t="s">
        <v>14</v>
      </c>
      <c r="Q59" t="e">
        <f t="shared" si="11"/>
        <v>#VALUE!</v>
      </c>
      <c r="T59">
        <f t="shared" si="14"/>
        <v>-3.8470924185378199</v>
      </c>
      <c r="U59">
        <f t="shared" si="12"/>
        <v>-1.2050644451660799</v>
      </c>
      <c r="V59" s="2"/>
      <c r="W59" s="2"/>
      <c r="X59" s="2"/>
      <c r="AE59" s="60" t="s">
        <v>25</v>
      </c>
    </row>
    <row r="60" spans="1:36" x14ac:dyDescent="0.4">
      <c r="A60" s="10" t="s">
        <v>81</v>
      </c>
      <c r="B60" s="9" t="s">
        <v>33</v>
      </c>
      <c r="C60" s="9">
        <v>26.98</v>
      </c>
      <c r="D60" s="9" t="s">
        <v>55</v>
      </c>
      <c r="E60" s="9">
        <v>14.52</v>
      </c>
      <c r="F60" s="9" t="s">
        <v>32</v>
      </c>
      <c r="G60" s="9">
        <v>25</v>
      </c>
      <c r="H60" s="9">
        <v>32</v>
      </c>
      <c r="I60" s="9" t="s">
        <v>64</v>
      </c>
      <c r="J60" s="9">
        <v>1.5</v>
      </c>
      <c r="K60" s="9">
        <v>41.5</v>
      </c>
      <c r="L60" s="9">
        <v>84.39</v>
      </c>
      <c r="M60" s="9">
        <v>0.1983</v>
      </c>
      <c r="N60" s="9">
        <v>-1.9650000000000001</v>
      </c>
      <c r="O60">
        <v>6.23</v>
      </c>
      <c r="P60">
        <v>87653.333333333299</v>
      </c>
      <c r="Q60">
        <f t="shared" si="11"/>
        <v>4.9427684363539051</v>
      </c>
      <c r="S60">
        <f t="shared" ref="S60:S79" si="22">Q60</f>
        <v>4.9427684363539051</v>
      </c>
      <c r="T60">
        <f t="shared" si="14"/>
        <v>1.0956760178160851</v>
      </c>
      <c r="U60">
        <f t="shared" si="12"/>
        <v>0.34320990214036895</v>
      </c>
      <c r="Y60">
        <v>3.6684368748958698</v>
      </c>
      <c r="Z60">
        <v>3.8753506961317101</v>
      </c>
      <c r="AA60">
        <f t="shared" ref="AA60:AA79" si="23">Y60-Z60</f>
        <v>-0.20691382123584035</v>
      </c>
      <c r="AB60">
        <f t="shared" ref="AB60:AB79" si="24">AA60+1.64743</f>
        <v>1.4405161787641596</v>
      </c>
      <c r="AC60">
        <f t="shared" ref="AC60:AC79" si="25">AB60/2.96582</f>
        <v>0.48570586844925168</v>
      </c>
      <c r="AE60">
        <v>4062.5</v>
      </c>
      <c r="AF60">
        <f t="shared" ref="AF60:AF79" si="26">LOG10(AE60)</f>
        <v>3.6087933739869307</v>
      </c>
      <c r="AH60">
        <v>3.6087933739869311</v>
      </c>
      <c r="AI60">
        <f t="shared" ref="AI60:AI79" si="27">AH60-3.17446634693745</f>
        <v>0.43432702704948101</v>
      </c>
      <c r="AJ60">
        <f t="shared" ref="AJ60:AJ79" si="28">AI60/2.53450552095595</f>
        <v>0.17136558727465862</v>
      </c>
    </row>
    <row r="61" spans="1:36" x14ac:dyDescent="0.4">
      <c r="A61" s="10" t="s">
        <v>82</v>
      </c>
      <c r="B61" s="9" t="s">
        <v>35</v>
      </c>
      <c r="C61" s="9">
        <v>20.75</v>
      </c>
      <c r="D61" s="9" t="s">
        <v>31</v>
      </c>
      <c r="E61" s="9">
        <v>20.75</v>
      </c>
      <c r="F61" s="9" t="s">
        <v>29</v>
      </c>
      <c r="G61" s="9">
        <v>25</v>
      </c>
      <c r="H61" s="9">
        <v>32</v>
      </c>
      <c r="I61" s="9" t="s">
        <v>64</v>
      </c>
      <c r="J61" s="9">
        <v>1.5</v>
      </c>
      <c r="K61" s="9">
        <v>41.5</v>
      </c>
      <c r="L61" s="9">
        <v>157.1</v>
      </c>
      <c r="M61" s="9">
        <v>0.1268</v>
      </c>
      <c r="N61" s="9">
        <v>1.306</v>
      </c>
      <c r="P61">
        <v>639833.33333333302</v>
      </c>
      <c r="Q61">
        <f t="shared" si="11"/>
        <v>5.8060668617337612</v>
      </c>
      <c r="S61">
        <f t="shared" si="22"/>
        <v>5.8060668617337612</v>
      </c>
      <c r="T61">
        <f t="shared" si="14"/>
        <v>1.9589744431959413</v>
      </c>
      <c r="U61">
        <f t="shared" si="12"/>
        <v>0.61362977377644712</v>
      </c>
      <c r="Y61">
        <v>4.5317353002757299</v>
      </c>
      <c r="Z61">
        <v>3.8753506961317101</v>
      </c>
      <c r="AA61">
        <f t="shared" si="23"/>
        <v>0.65638460414401978</v>
      </c>
      <c r="AB61">
        <f t="shared" si="24"/>
        <v>2.3038146041440197</v>
      </c>
      <c r="AC61">
        <f t="shared" si="25"/>
        <v>0.7767884106736147</v>
      </c>
      <c r="AE61">
        <v>16872</v>
      </c>
      <c r="AF61">
        <f t="shared" si="26"/>
        <v>4.2271665667314302</v>
      </c>
      <c r="AH61">
        <v>4.2271665667314302</v>
      </c>
      <c r="AI61">
        <f t="shared" si="27"/>
        <v>1.0527002197939801</v>
      </c>
      <c r="AJ61">
        <f t="shared" si="28"/>
        <v>0.41534737687094431</v>
      </c>
    </row>
    <row r="62" spans="1:36" x14ac:dyDescent="0.4">
      <c r="A62" s="10" t="s">
        <v>83</v>
      </c>
      <c r="B62" s="9" t="s">
        <v>35</v>
      </c>
      <c r="C62" s="9">
        <v>11.1</v>
      </c>
      <c r="D62" s="9" t="s">
        <v>35</v>
      </c>
      <c r="E62" s="9">
        <v>44.4</v>
      </c>
      <c r="F62" s="9" t="s">
        <v>32</v>
      </c>
      <c r="G62" s="9">
        <v>15</v>
      </c>
      <c r="H62" s="9">
        <v>25.5</v>
      </c>
      <c r="I62" s="9" t="s">
        <v>57</v>
      </c>
      <c r="J62" s="9">
        <v>4</v>
      </c>
      <c r="K62" s="9">
        <v>55.5</v>
      </c>
      <c r="L62" s="9">
        <v>1689</v>
      </c>
      <c r="M62" s="9">
        <v>0.96140000000000003</v>
      </c>
      <c r="N62" s="9">
        <v>-1.121</v>
      </c>
      <c r="O62">
        <v>6.49</v>
      </c>
      <c r="P62">
        <v>84060</v>
      </c>
      <c r="Q62">
        <f t="shared" si="11"/>
        <v>4.9245893856694183</v>
      </c>
      <c r="S62">
        <f t="shared" si="22"/>
        <v>4.9245893856694183</v>
      </c>
      <c r="T62">
        <f t="shared" si="14"/>
        <v>1.0774969671315984</v>
      </c>
      <c r="U62">
        <f t="shared" si="12"/>
        <v>0.33751549055795277</v>
      </c>
      <c r="Y62">
        <v>3.6502578242113901</v>
      </c>
      <c r="Z62">
        <v>3.8753506961317101</v>
      </c>
      <c r="AA62">
        <f t="shared" si="23"/>
        <v>-0.22509287192032001</v>
      </c>
      <c r="AB62">
        <f t="shared" si="24"/>
        <v>1.4223371280796799</v>
      </c>
      <c r="AC62">
        <f t="shared" si="25"/>
        <v>0.47957634923214487</v>
      </c>
      <c r="AE62">
        <v>3176.5</v>
      </c>
      <c r="AF62">
        <f t="shared" si="26"/>
        <v>3.5019488596712804</v>
      </c>
      <c r="AH62">
        <v>3.50194885967128</v>
      </c>
      <c r="AI62">
        <f t="shared" si="27"/>
        <v>0.32748251273382989</v>
      </c>
      <c r="AJ62">
        <f t="shared" si="28"/>
        <v>0.12920962689807514</v>
      </c>
    </row>
    <row r="63" spans="1:36" x14ac:dyDescent="0.4">
      <c r="A63" s="10" t="s">
        <v>84</v>
      </c>
      <c r="B63" s="9" t="s">
        <v>35</v>
      </c>
      <c r="C63" s="9">
        <v>18</v>
      </c>
      <c r="D63" s="9" t="s">
        <v>31</v>
      </c>
      <c r="E63" s="9">
        <v>4.5</v>
      </c>
      <c r="F63" s="9" t="s">
        <v>29</v>
      </c>
      <c r="G63" s="9">
        <v>35</v>
      </c>
      <c r="H63" s="9">
        <v>38.5</v>
      </c>
      <c r="I63" s="9" t="s">
        <v>64</v>
      </c>
      <c r="J63" s="9">
        <v>4</v>
      </c>
      <c r="K63" s="9">
        <v>22.5</v>
      </c>
      <c r="L63" s="9">
        <v>120.3</v>
      </c>
      <c r="M63" s="9">
        <v>0.16289999999999999</v>
      </c>
      <c r="N63" s="9">
        <v>0.49759999999999999</v>
      </c>
      <c r="O63" s="77"/>
      <c r="P63">
        <v>82593.333333333299</v>
      </c>
      <c r="Q63">
        <f t="shared" si="11"/>
        <v>4.9169449938894818</v>
      </c>
      <c r="S63">
        <f t="shared" si="22"/>
        <v>4.9169449938894818</v>
      </c>
      <c r="T63">
        <f t="shared" si="14"/>
        <v>1.0698525753516619</v>
      </c>
      <c r="U63">
        <f t="shared" si="12"/>
        <v>0.33512095886057741</v>
      </c>
      <c r="Y63">
        <v>3.6426134324314501</v>
      </c>
      <c r="Z63">
        <v>3.8753506961317101</v>
      </c>
      <c r="AA63">
        <f t="shared" si="23"/>
        <v>-0.23273726370026004</v>
      </c>
      <c r="AB63">
        <f t="shared" si="24"/>
        <v>1.4146927362997399</v>
      </c>
      <c r="AC63">
        <f t="shared" si="25"/>
        <v>0.47699885235777623</v>
      </c>
      <c r="AE63">
        <v>7871.5</v>
      </c>
      <c r="AF63">
        <f t="shared" si="26"/>
        <v>3.8960574997859077</v>
      </c>
      <c r="AH63">
        <v>3.8960574997859081</v>
      </c>
      <c r="AI63">
        <f t="shared" si="27"/>
        <v>0.72159115284845798</v>
      </c>
      <c r="AJ63">
        <f t="shared" si="28"/>
        <v>0.28470687748839169</v>
      </c>
    </row>
    <row r="64" spans="1:36" x14ac:dyDescent="0.4">
      <c r="A64" s="10" t="s">
        <v>85</v>
      </c>
      <c r="B64" s="9" t="s">
        <v>33</v>
      </c>
      <c r="C64" s="9">
        <v>21.62</v>
      </c>
      <c r="D64" s="9" t="s">
        <v>34</v>
      </c>
      <c r="E64" s="9">
        <v>21.62</v>
      </c>
      <c r="F64" s="9" t="s">
        <v>29</v>
      </c>
      <c r="G64" s="9">
        <v>35</v>
      </c>
      <c r="H64" s="9">
        <v>19.25</v>
      </c>
      <c r="I64" s="9" t="s">
        <v>57</v>
      </c>
      <c r="J64" s="9">
        <v>2.5</v>
      </c>
      <c r="K64" s="9">
        <v>43.25</v>
      </c>
      <c r="L64" s="9">
        <v>783.5</v>
      </c>
      <c r="M64" s="9">
        <v>0.35510000000000003</v>
      </c>
      <c r="N64" s="9">
        <v>4.3659999999999997</v>
      </c>
      <c r="O64">
        <v>4.9400000000000004</v>
      </c>
      <c r="P64">
        <v>26766.666666666701</v>
      </c>
      <c r="Q64">
        <f t="shared" si="11"/>
        <v>4.4275942905590187</v>
      </c>
      <c r="S64">
        <f t="shared" si="22"/>
        <v>4.4275942905590187</v>
      </c>
      <c r="T64">
        <f t="shared" si="14"/>
        <v>0.58050187202119874</v>
      </c>
      <c r="U64">
        <f t="shared" si="12"/>
        <v>0.18183658987609513</v>
      </c>
      <c r="Y64">
        <v>3.15326272910099</v>
      </c>
      <c r="Z64">
        <v>3.8753506961317101</v>
      </c>
      <c r="AA64">
        <f t="shared" si="23"/>
        <v>-0.72208796703072009</v>
      </c>
      <c r="AB64">
        <f t="shared" si="24"/>
        <v>0.92534203296927986</v>
      </c>
      <c r="AC64">
        <f t="shared" si="25"/>
        <v>0.31200208811366836</v>
      </c>
      <c r="AE64">
        <v>23510</v>
      </c>
      <c r="AF64">
        <f t="shared" si="26"/>
        <v>4.3712526291249389</v>
      </c>
      <c r="AH64">
        <v>4.3712526291249389</v>
      </c>
      <c r="AI64">
        <f t="shared" si="27"/>
        <v>1.1967862821874888</v>
      </c>
      <c r="AJ64">
        <f t="shared" si="28"/>
        <v>0.4721971494211194</v>
      </c>
    </row>
    <row r="65" spans="1:36" x14ac:dyDescent="0.4">
      <c r="A65" s="10" t="s">
        <v>86</v>
      </c>
      <c r="B65" s="9" t="s">
        <v>33</v>
      </c>
      <c r="C65" s="9">
        <v>5.85</v>
      </c>
      <c r="D65" s="9" t="s">
        <v>34</v>
      </c>
      <c r="E65" s="9">
        <v>23.4</v>
      </c>
      <c r="F65" s="9" t="s">
        <v>29</v>
      </c>
      <c r="G65" s="9">
        <v>50</v>
      </c>
      <c r="H65" s="9">
        <v>19.25</v>
      </c>
      <c r="I65" s="9" t="s">
        <v>64</v>
      </c>
      <c r="J65" s="9">
        <v>1.5</v>
      </c>
      <c r="K65" s="9">
        <v>29.25</v>
      </c>
      <c r="L65" s="9">
        <v>119.9</v>
      </c>
      <c r="M65" s="9">
        <v>0.22040000000000001</v>
      </c>
      <c r="N65" s="9">
        <v>0.90710000000000002</v>
      </c>
      <c r="O65" s="9">
        <v>4</v>
      </c>
      <c r="P65">
        <v>152696.66666666701</v>
      </c>
      <c r="Q65">
        <f t="shared" si="11"/>
        <v>5.1838295566106209</v>
      </c>
      <c r="S65">
        <f t="shared" si="22"/>
        <v>5.1838295566106209</v>
      </c>
      <c r="T65">
        <f t="shared" si="14"/>
        <v>1.336737138072801</v>
      </c>
      <c r="U65">
        <f t="shared" si="12"/>
        <v>0.41871996364382569</v>
      </c>
      <c r="Y65">
        <v>3.9094979951525901</v>
      </c>
      <c r="Z65">
        <v>3.8753506961317101</v>
      </c>
      <c r="AA65">
        <f t="shared" si="23"/>
        <v>3.4147299020879984E-2</v>
      </c>
      <c r="AB65">
        <f t="shared" si="24"/>
        <v>1.6815772990208799</v>
      </c>
      <c r="AC65">
        <f t="shared" si="25"/>
        <v>0.56698562253301954</v>
      </c>
      <c r="AE65">
        <v>253350</v>
      </c>
      <c r="AF65">
        <f t="shared" si="26"/>
        <v>5.4037209086266902</v>
      </c>
      <c r="AH65">
        <v>5.4037209086266902</v>
      </c>
      <c r="AI65">
        <f t="shared" si="27"/>
        <v>2.2292545616892401</v>
      </c>
      <c r="AJ65">
        <f t="shared" si="28"/>
        <v>0.87956192766485775</v>
      </c>
    </row>
    <row r="66" spans="1:36" x14ac:dyDescent="0.4">
      <c r="A66" s="10" t="s">
        <v>87</v>
      </c>
      <c r="B66" s="9" t="s">
        <v>35</v>
      </c>
      <c r="C66" s="9">
        <v>22.12</v>
      </c>
      <c r="D66" s="9" t="s">
        <v>31</v>
      </c>
      <c r="E66" s="9">
        <v>22.12</v>
      </c>
      <c r="F66" s="9" t="s">
        <v>32</v>
      </c>
      <c r="G66" s="9">
        <v>35</v>
      </c>
      <c r="H66" s="9">
        <v>19.25</v>
      </c>
      <c r="I66" s="9" t="s">
        <v>30</v>
      </c>
      <c r="J66" s="9">
        <v>1.5</v>
      </c>
      <c r="K66" s="9">
        <v>44.25</v>
      </c>
      <c r="L66" s="9">
        <v>102.7</v>
      </c>
      <c r="M66" s="9">
        <v>0.15609999999999999</v>
      </c>
      <c r="N66" s="9">
        <v>0.44069999999999998</v>
      </c>
      <c r="O66" s="9">
        <v>6.45</v>
      </c>
      <c r="P66">
        <v>199200</v>
      </c>
      <c r="Q66">
        <f t="shared" ref="Q66:Q97" si="29">LOG10(P66)</f>
        <v>5.2992893340876801</v>
      </c>
      <c r="S66">
        <f t="shared" si="22"/>
        <v>5.2992893340876801</v>
      </c>
      <c r="T66">
        <f t="shared" si="14"/>
        <v>1.4521969155498602</v>
      </c>
      <c r="U66">
        <f t="shared" ref="U66:U97" si="30">T66/3.19243708</f>
        <v>0.45488662083509573</v>
      </c>
      <c r="Y66">
        <v>4.0249577726296497</v>
      </c>
      <c r="Z66">
        <v>3.8753506961317101</v>
      </c>
      <c r="AA66">
        <f t="shared" si="23"/>
        <v>0.14960707649793958</v>
      </c>
      <c r="AB66">
        <f t="shared" si="24"/>
        <v>1.7970370764979395</v>
      </c>
      <c r="AC66">
        <f t="shared" si="25"/>
        <v>0.60591575904739314</v>
      </c>
      <c r="AE66">
        <v>40755</v>
      </c>
      <c r="AF66">
        <f t="shared" si="26"/>
        <v>4.6101808974735716</v>
      </c>
      <c r="AH66">
        <v>4.6101808974735716</v>
      </c>
      <c r="AI66">
        <f t="shared" si="27"/>
        <v>1.4357145505361215</v>
      </c>
      <c r="AJ66">
        <f t="shared" si="28"/>
        <v>0.56646732021897783</v>
      </c>
    </row>
    <row r="67" spans="1:36" x14ac:dyDescent="0.4">
      <c r="A67" s="10" t="s">
        <v>88</v>
      </c>
      <c r="B67" s="9" t="s">
        <v>33</v>
      </c>
      <c r="C67" s="9">
        <v>10.67</v>
      </c>
      <c r="D67" s="9" t="s">
        <v>35</v>
      </c>
      <c r="E67" s="9">
        <v>19.82</v>
      </c>
      <c r="F67" s="9" t="s">
        <v>29</v>
      </c>
      <c r="G67" s="9">
        <v>35</v>
      </c>
      <c r="H67" s="9">
        <v>32</v>
      </c>
      <c r="I67" s="9" t="s">
        <v>30</v>
      </c>
      <c r="J67" s="9">
        <v>2.5</v>
      </c>
      <c r="K67" s="9">
        <v>30.5</v>
      </c>
      <c r="L67" s="9">
        <v>91.45</v>
      </c>
      <c r="M67" s="9">
        <v>0.16189999999999999</v>
      </c>
      <c r="N67" s="9">
        <v>-2.0419999999999998</v>
      </c>
      <c r="O67" s="9">
        <v>6.18</v>
      </c>
      <c r="P67">
        <v>707800</v>
      </c>
      <c r="Q67">
        <f t="shared" si="29"/>
        <v>5.8499105583014961</v>
      </c>
      <c r="S67">
        <f t="shared" si="22"/>
        <v>5.8499105583014961</v>
      </c>
      <c r="T67">
        <f t="shared" si="14"/>
        <v>2.0028181397636762</v>
      </c>
      <c r="U67">
        <f t="shared" si="30"/>
        <v>0.62736338714737527</v>
      </c>
      <c r="Y67">
        <v>4.5755789968434701</v>
      </c>
      <c r="Z67">
        <v>3.8753506961317101</v>
      </c>
      <c r="AA67">
        <f t="shared" si="23"/>
        <v>0.70022830071176001</v>
      </c>
      <c r="AB67">
        <f t="shared" si="24"/>
        <v>2.34765830071176</v>
      </c>
      <c r="AC67">
        <f t="shared" si="25"/>
        <v>0.79157140376413948</v>
      </c>
      <c r="AE67">
        <v>184350</v>
      </c>
      <c r="AF67">
        <f t="shared" si="26"/>
        <v>5.2656431419421352</v>
      </c>
      <c r="AH67">
        <v>5.2656431419421352</v>
      </c>
      <c r="AI67">
        <f t="shared" si="27"/>
        <v>2.0911767950046851</v>
      </c>
      <c r="AJ67">
        <f t="shared" si="28"/>
        <v>0.82508275389984043</v>
      </c>
    </row>
    <row r="68" spans="1:36" x14ac:dyDescent="0.4">
      <c r="A68" s="10" t="s">
        <v>89</v>
      </c>
      <c r="B68" s="9" t="s">
        <v>35</v>
      </c>
      <c r="C68" s="9">
        <v>12.85</v>
      </c>
      <c r="D68" s="9" t="s">
        <v>34</v>
      </c>
      <c r="E68" s="9">
        <v>51.4</v>
      </c>
      <c r="F68" s="9" t="s">
        <v>32</v>
      </c>
      <c r="G68" s="9">
        <v>15</v>
      </c>
      <c r="H68" s="9">
        <v>19.25</v>
      </c>
      <c r="I68" s="9" t="s">
        <v>57</v>
      </c>
      <c r="J68" s="9">
        <v>1.5</v>
      </c>
      <c r="K68" s="9">
        <v>64.25</v>
      </c>
      <c r="L68" s="9">
        <v>3602</v>
      </c>
      <c r="M68" s="9">
        <v>0.97089999999999999</v>
      </c>
      <c r="N68" s="9">
        <v>18.649999999999999</v>
      </c>
      <c r="O68" s="9">
        <v>4</v>
      </c>
      <c r="P68">
        <v>92566.666666666701</v>
      </c>
      <c r="Q68">
        <f t="shared" si="29"/>
        <v>4.966454625030595</v>
      </c>
      <c r="S68">
        <f t="shared" si="22"/>
        <v>4.966454625030595</v>
      </c>
      <c r="T68">
        <f t="shared" si="14"/>
        <v>1.1193622064927751</v>
      </c>
      <c r="U68">
        <f t="shared" si="30"/>
        <v>0.35062937136815087</v>
      </c>
      <c r="Y68">
        <v>3.6921230635725601</v>
      </c>
      <c r="Z68">
        <v>3.8753506961317101</v>
      </c>
      <c r="AA68">
        <f t="shared" si="23"/>
        <v>-0.18322763255914998</v>
      </c>
      <c r="AB68">
        <f t="shared" si="24"/>
        <v>1.46420236744085</v>
      </c>
      <c r="AC68">
        <f t="shared" si="25"/>
        <v>0.49369225625319474</v>
      </c>
      <c r="AE68">
        <v>12625</v>
      </c>
      <c r="AF68">
        <f t="shared" si="26"/>
        <v>4.1012313867906993</v>
      </c>
      <c r="AH68">
        <v>4.1012313867906993</v>
      </c>
      <c r="AI68">
        <f t="shared" si="27"/>
        <v>0.92676503985324921</v>
      </c>
      <c r="AJ68">
        <f t="shared" si="28"/>
        <v>0.36565911267129431</v>
      </c>
    </row>
    <row r="69" spans="1:36" x14ac:dyDescent="0.4">
      <c r="A69" s="10" t="s">
        <v>90</v>
      </c>
      <c r="B69" s="9" t="s">
        <v>33</v>
      </c>
      <c r="C69" s="9">
        <v>33.5</v>
      </c>
      <c r="D69" s="9" t="s">
        <v>35</v>
      </c>
      <c r="E69" s="9">
        <v>33.5</v>
      </c>
      <c r="F69" s="9" t="s">
        <v>29</v>
      </c>
      <c r="G69" s="9">
        <v>5</v>
      </c>
      <c r="H69" s="9">
        <v>25.5</v>
      </c>
      <c r="I69" s="9" t="s">
        <v>57</v>
      </c>
      <c r="J69" s="9">
        <v>2.5</v>
      </c>
      <c r="K69" s="9">
        <v>67</v>
      </c>
      <c r="L69" s="9">
        <v>883.6</v>
      </c>
      <c r="M69" s="9">
        <v>0.53190000000000004</v>
      </c>
      <c r="N69" s="9">
        <v>-5.109</v>
      </c>
      <c r="O69" s="9">
        <v>4.42</v>
      </c>
      <c r="P69">
        <v>26700</v>
      </c>
      <c r="Q69">
        <f t="shared" si="29"/>
        <v>4.426511261364575</v>
      </c>
      <c r="S69">
        <f t="shared" si="22"/>
        <v>4.426511261364575</v>
      </c>
      <c r="T69">
        <f t="shared" si="14"/>
        <v>0.57941884282675504</v>
      </c>
      <c r="U69">
        <f t="shared" si="30"/>
        <v>0.18149734146890534</v>
      </c>
      <c r="Y69">
        <v>3.1521796999065401</v>
      </c>
      <c r="Z69">
        <v>3.8753506961317101</v>
      </c>
      <c r="AA69">
        <f t="shared" si="23"/>
        <v>-0.72317099622517</v>
      </c>
      <c r="AB69">
        <f t="shared" si="24"/>
        <v>0.92425900377482995</v>
      </c>
      <c r="AC69">
        <f t="shared" si="25"/>
        <v>0.31163691787594322</v>
      </c>
      <c r="AE69">
        <v>3789.5</v>
      </c>
      <c r="AF69">
        <f t="shared" si="26"/>
        <v>3.5785819114018698</v>
      </c>
      <c r="AH69">
        <v>3.5785819114018702</v>
      </c>
      <c r="AI69">
        <f t="shared" si="27"/>
        <v>0.4041155644644201</v>
      </c>
      <c r="AJ69">
        <f t="shared" si="28"/>
        <v>0.15944552541830651</v>
      </c>
    </row>
    <row r="70" spans="1:36" x14ac:dyDescent="0.4">
      <c r="A70" s="10" t="s">
        <v>91</v>
      </c>
      <c r="B70" s="9" t="s">
        <v>35</v>
      </c>
      <c r="C70" s="9">
        <v>15.14</v>
      </c>
      <c r="D70" s="9" t="s">
        <v>31</v>
      </c>
      <c r="E70" s="9">
        <v>28.11</v>
      </c>
      <c r="F70" s="9" t="s">
        <v>32</v>
      </c>
      <c r="G70" s="9">
        <v>35</v>
      </c>
      <c r="H70" s="9">
        <v>19.25</v>
      </c>
      <c r="I70" s="9" t="s">
        <v>57</v>
      </c>
      <c r="J70" s="9">
        <v>2.5</v>
      </c>
      <c r="K70" s="9">
        <v>43.25</v>
      </c>
      <c r="L70" s="9">
        <v>99.32</v>
      </c>
      <c r="M70" s="9">
        <v>0.23830000000000001</v>
      </c>
      <c r="N70" s="9">
        <v>-2.8929999999999998</v>
      </c>
      <c r="O70" s="9">
        <v>6.22</v>
      </c>
      <c r="P70">
        <v>34956.666666666701</v>
      </c>
      <c r="Q70">
        <f t="shared" si="29"/>
        <v>4.5435300132846796</v>
      </c>
      <c r="S70">
        <f t="shared" si="22"/>
        <v>4.5435300132846796</v>
      </c>
      <c r="T70">
        <f t="shared" si="14"/>
        <v>0.69643759474685973</v>
      </c>
      <c r="U70">
        <f t="shared" si="30"/>
        <v>0.2181523323074733</v>
      </c>
      <c r="Y70">
        <v>3.2691984518266501</v>
      </c>
      <c r="Z70">
        <v>3.8753506961317101</v>
      </c>
      <c r="AA70">
        <f t="shared" si="23"/>
        <v>-0.60615224430505998</v>
      </c>
      <c r="AB70">
        <f t="shared" si="24"/>
        <v>1.04127775569494</v>
      </c>
      <c r="AC70">
        <f t="shared" si="25"/>
        <v>0.35109270140970794</v>
      </c>
      <c r="AE70">
        <v>1570.5</v>
      </c>
      <c r="AF70">
        <f t="shared" si="26"/>
        <v>3.1960379407345236</v>
      </c>
      <c r="AH70">
        <v>3.1960379407345241</v>
      </c>
      <c r="AI70">
        <f t="shared" si="27"/>
        <v>2.1571593797073962E-2</v>
      </c>
      <c r="AJ70">
        <f t="shared" si="28"/>
        <v>8.5111646507432786E-3</v>
      </c>
    </row>
    <row r="71" spans="1:36" x14ac:dyDescent="0.4">
      <c r="A71" s="10" t="s">
        <v>92</v>
      </c>
      <c r="B71" s="9" t="s">
        <v>55</v>
      </c>
      <c r="C71" s="9">
        <v>4.5999999999999996</v>
      </c>
      <c r="D71" s="9" t="s">
        <v>35</v>
      </c>
      <c r="E71" s="9">
        <v>18.399999999999999</v>
      </c>
      <c r="F71" s="9" t="s">
        <v>32</v>
      </c>
      <c r="G71" s="9">
        <v>50</v>
      </c>
      <c r="H71" s="9">
        <v>25.5</v>
      </c>
      <c r="I71" s="9" t="s">
        <v>64</v>
      </c>
      <c r="J71" s="9">
        <v>1.5</v>
      </c>
      <c r="K71" s="9">
        <v>23</v>
      </c>
      <c r="L71" s="9">
        <v>114.5</v>
      </c>
      <c r="M71" s="9">
        <v>0.28639999999999999</v>
      </c>
      <c r="N71" s="9">
        <v>-1.742</v>
      </c>
      <c r="O71" s="9">
        <v>6.51</v>
      </c>
      <c r="P71">
        <v>114610</v>
      </c>
      <c r="Q71">
        <f t="shared" si="29"/>
        <v>5.0592225125296899</v>
      </c>
      <c r="S71">
        <f t="shared" si="22"/>
        <v>5.0592225125296899</v>
      </c>
      <c r="T71">
        <f t="shared" si="14"/>
        <v>1.21213009399187</v>
      </c>
      <c r="U71">
        <f t="shared" si="30"/>
        <v>0.37968801377030431</v>
      </c>
      <c r="Y71">
        <v>3.78489095107166</v>
      </c>
      <c r="Z71">
        <v>3.8753506961317101</v>
      </c>
      <c r="AA71">
        <f t="shared" si="23"/>
        <v>-9.0459745060050167E-2</v>
      </c>
      <c r="AB71">
        <f t="shared" si="24"/>
        <v>1.5569702549399498</v>
      </c>
      <c r="AC71">
        <f t="shared" si="25"/>
        <v>0.52497125750718177</v>
      </c>
      <c r="AE71">
        <v>2854.5</v>
      </c>
      <c r="AF71">
        <f t="shared" si="26"/>
        <v>3.4555300473427017</v>
      </c>
      <c r="AH71">
        <v>3.4555300473427022</v>
      </c>
      <c r="AI71">
        <f t="shared" si="27"/>
        <v>0.28106370040525208</v>
      </c>
      <c r="AJ71">
        <f t="shared" si="28"/>
        <v>0.11089488583920784</v>
      </c>
    </row>
    <row r="72" spans="1:36" x14ac:dyDescent="0.4">
      <c r="A72" s="10" t="s">
        <v>93</v>
      </c>
      <c r="B72" s="9" t="s">
        <v>33</v>
      </c>
      <c r="C72" s="9">
        <v>18.11</v>
      </c>
      <c r="D72" s="9" t="s">
        <v>34</v>
      </c>
      <c r="E72" s="9">
        <v>33.64</v>
      </c>
      <c r="F72" s="9" t="s">
        <v>32</v>
      </c>
      <c r="G72" s="9">
        <v>25</v>
      </c>
      <c r="H72" s="9">
        <v>19.25</v>
      </c>
      <c r="I72" s="9" t="s">
        <v>64</v>
      </c>
      <c r="J72" s="9">
        <v>4</v>
      </c>
      <c r="K72" s="9">
        <v>51.75</v>
      </c>
      <c r="L72" s="9">
        <v>604.6</v>
      </c>
      <c r="M72" s="9">
        <v>0.74809999999999999</v>
      </c>
      <c r="N72" s="9">
        <v>0.79020000000000001</v>
      </c>
      <c r="O72" s="9">
        <v>7.22</v>
      </c>
      <c r="P72">
        <v>54916.666666666701</v>
      </c>
      <c r="Q72">
        <f t="shared" si="29"/>
        <v>4.7397041685463854</v>
      </c>
      <c r="S72">
        <f t="shared" si="22"/>
        <v>4.7397041685463854</v>
      </c>
      <c r="T72">
        <f t="shared" si="14"/>
        <v>0.89261175000856552</v>
      </c>
      <c r="U72">
        <f t="shared" si="30"/>
        <v>0.27960198670808745</v>
      </c>
      <c r="Y72">
        <v>3.4653726070883599</v>
      </c>
      <c r="Z72">
        <v>3.8753506961317101</v>
      </c>
      <c r="AA72">
        <f t="shared" si="23"/>
        <v>-0.4099780890433502</v>
      </c>
      <c r="AB72">
        <f t="shared" si="24"/>
        <v>1.2374519109566497</v>
      </c>
      <c r="AC72">
        <f t="shared" si="25"/>
        <v>0.41723769849709347</v>
      </c>
      <c r="AE72">
        <v>2200</v>
      </c>
      <c r="AF72">
        <f t="shared" si="26"/>
        <v>3.3424226808222062</v>
      </c>
      <c r="AH72">
        <v>3.3424226808222062</v>
      </c>
      <c r="AI72">
        <f t="shared" si="27"/>
        <v>0.16795633388475606</v>
      </c>
      <c r="AJ72">
        <f t="shared" si="28"/>
        <v>6.626789032260906E-2</v>
      </c>
    </row>
    <row r="73" spans="1:36" x14ac:dyDescent="0.4">
      <c r="A73" s="10" t="s">
        <v>94</v>
      </c>
      <c r="B73" s="9" t="s">
        <v>33</v>
      </c>
      <c r="C73" s="9">
        <v>13.1</v>
      </c>
      <c r="D73" s="9" t="s">
        <v>35</v>
      </c>
      <c r="E73" s="9">
        <v>52.4</v>
      </c>
      <c r="F73" s="9" t="s">
        <v>32</v>
      </c>
      <c r="G73" s="9">
        <v>5</v>
      </c>
      <c r="H73" s="9">
        <v>25.5</v>
      </c>
      <c r="I73" s="9" t="s">
        <v>64</v>
      </c>
      <c r="J73" s="9">
        <v>4</v>
      </c>
      <c r="K73" s="9">
        <v>65.5</v>
      </c>
      <c r="L73" s="9">
        <v>99.16</v>
      </c>
      <c r="M73" s="9">
        <v>9.2069999999999999E-2</v>
      </c>
      <c r="N73" s="9">
        <v>-2.524</v>
      </c>
      <c r="O73" s="9">
        <v>6.47</v>
      </c>
      <c r="P73">
        <v>268900</v>
      </c>
      <c r="Q73">
        <f t="shared" si="29"/>
        <v>5.4295908022233013</v>
      </c>
      <c r="S73">
        <f t="shared" si="22"/>
        <v>5.4295908022233013</v>
      </c>
      <c r="T73">
        <f t="shared" si="14"/>
        <v>1.5824983836854813</v>
      </c>
      <c r="U73">
        <f t="shared" si="30"/>
        <v>0.49570229389939341</v>
      </c>
      <c r="Y73">
        <v>4.15525924076527</v>
      </c>
      <c r="Z73">
        <v>3.8753506961317101</v>
      </c>
      <c r="AA73">
        <f t="shared" si="23"/>
        <v>0.27990854463355985</v>
      </c>
      <c r="AB73">
        <f t="shared" si="24"/>
        <v>1.9273385446335598</v>
      </c>
      <c r="AC73">
        <f t="shared" si="25"/>
        <v>0.64985014081554504</v>
      </c>
      <c r="AE73">
        <v>16509.5</v>
      </c>
      <c r="AF73">
        <f t="shared" si="26"/>
        <v>4.2177339205959772</v>
      </c>
      <c r="AH73">
        <v>4.2177339205959772</v>
      </c>
      <c r="AI73">
        <f t="shared" si="27"/>
        <v>1.0432675736585271</v>
      </c>
      <c r="AJ73">
        <f t="shared" si="28"/>
        <v>0.41162568597011123</v>
      </c>
    </row>
    <row r="74" spans="1:36" x14ac:dyDescent="0.4">
      <c r="A74" s="10" t="s">
        <v>95</v>
      </c>
      <c r="B74" s="9" t="s">
        <v>55</v>
      </c>
      <c r="C74" s="9">
        <v>6.1</v>
      </c>
      <c r="D74" s="9" t="s">
        <v>35</v>
      </c>
      <c r="E74" s="9">
        <v>24.4</v>
      </c>
      <c r="F74" s="9" t="s">
        <v>29</v>
      </c>
      <c r="G74" s="9">
        <v>35</v>
      </c>
      <c r="H74" s="9">
        <v>32</v>
      </c>
      <c r="I74" s="9" t="s">
        <v>64</v>
      </c>
      <c r="J74" s="9">
        <v>2.5</v>
      </c>
      <c r="K74" s="9">
        <v>30.5</v>
      </c>
      <c r="L74" s="9">
        <v>130.5</v>
      </c>
      <c r="M74" s="9">
        <v>0.1323</v>
      </c>
      <c r="N74" s="9">
        <v>-1.4139999999999999</v>
      </c>
      <c r="O74" s="9">
        <v>7.13</v>
      </c>
      <c r="P74">
        <v>173000</v>
      </c>
      <c r="Q74">
        <f t="shared" si="29"/>
        <v>5.238046103128795</v>
      </c>
      <c r="S74">
        <f t="shared" si="22"/>
        <v>5.238046103128795</v>
      </c>
      <c r="T74">
        <f t="shared" si="14"/>
        <v>1.3909536845909751</v>
      </c>
      <c r="U74">
        <f t="shared" si="30"/>
        <v>0.43570277181186456</v>
      </c>
      <c r="Y74">
        <v>3.9637145416707602</v>
      </c>
      <c r="Z74">
        <v>3.8753506961317101</v>
      </c>
      <c r="AA74">
        <f t="shared" si="23"/>
        <v>8.8363845539050079E-2</v>
      </c>
      <c r="AB74">
        <f t="shared" si="24"/>
        <v>1.73579384553905</v>
      </c>
      <c r="AC74">
        <f t="shared" si="25"/>
        <v>0.58526608005173952</v>
      </c>
      <c r="AE74">
        <v>14296.5</v>
      </c>
      <c r="AF74">
        <f t="shared" si="26"/>
        <v>4.1552297286024915</v>
      </c>
      <c r="AH74">
        <v>4.1552297286024924</v>
      </c>
      <c r="AI74">
        <f t="shared" si="27"/>
        <v>0.98076338166504229</v>
      </c>
      <c r="AJ74">
        <f t="shared" si="28"/>
        <v>0.38696438952522921</v>
      </c>
    </row>
    <row r="75" spans="1:36" x14ac:dyDescent="0.4">
      <c r="A75" s="10" t="s">
        <v>96</v>
      </c>
      <c r="B75" s="9" t="s">
        <v>55</v>
      </c>
      <c r="C75" s="9">
        <v>18.850000000000001</v>
      </c>
      <c r="D75" s="9" t="s">
        <v>55</v>
      </c>
      <c r="E75" s="9">
        <v>10.15</v>
      </c>
      <c r="F75" s="9" t="s">
        <v>29</v>
      </c>
      <c r="G75" s="9">
        <v>35</v>
      </c>
      <c r="H75" s="9">
        <v>32</v>
      </c>
      <c r="I75" s="9" t="s">
        <v>64</v>
      </c>
      <c r="J75" s="9">
        <v>4</v>
      </c>
      <c r="K75" s="9">
        <v>29</v>
      </c>
      <c r="L75" s="9">
        <v>141.5</v>
      </c>
      <c r="M75" s="9">
        <v>0.29289999999999999</v>
      </c>
      <c r="N75" s="9">
        <v>-3.222</v>
      </c>
      <c r="O75" s="9">
        <v>7.03</v>
      </c>
      <c r="P75">
        <v>34796.666666666701</v>
      </c>
      <c r="Q75">
        <f t="shared" si="29"/>
        <v>4.5415376428658556</v>
      </c>
      <c r="S75">
        <f t="shared" si="22"/>
        <v>4.5415376428658556</v>
      </c>
      <c r="T75">
        <f t="shared" si="14"/>
        <v>0.69444522432803568</v>
      </c>
      <c r="U75">
        <f t="shared" si="30"/>
        <v>0.21752824156773537</v>
      </c>
      <c r="Y75">
        <v>3.2672060814078301</v>
      </c>
      <c r="Z75">
        <v>3.8753506961317101</v>
      </c>
      <c r="AA75">
        <f t="shared" si="23"/>
        <v>-0.60814461472388004</v>
      </c>
      <c r="AB75">
        <f t="shared" si="24"/>
        <v>1.0392853852761199</v>
      </c>
      <c r="AC75">
        <f t="shared" si="25"/>
        <v>0.35042092415457443</v>
      </c>
      <c r="AE75">
        <v>63585</v>
      </c>
      <c r="AF75">
        <f t="shared" si="26"/>
        <v>4.8033546756239023</v>
      </c>
      <c r="AH75">
        <v>4.8033546756239023</v>
      </c>
      <c r="AI75">
        <f t="shared" si="27"/>
        <v>1.6288883286864522</v>
      </c>
      <c r="AJ75">
        <f t="shared" si="28"/>
        <v>0.64268486109751199</v>
      </c>
    </row>
    <row r="76" spans="1:36" x14ac:dyDescent="0.4">
      <c r="A76" s="10" t="s">
        <v>97</v>
      </c>
      <c r="B76" s="9" t="s">
        <v>55</v>
      </c>
      <c r="C76" s="9">
        <v>38.35</v>
      </c>
      <c r="D76" s="9" t="s">
        <v>55</v>
      </c>
      <c r="E76" s="9">
        <v>20.65</v>
      </c>
      <c r="F76" s="9" t="s">
        <v>32</v>
      </c>
      <c r="G76" s="9">
        <v>5</v>
      </c>
      <c r="H76" s="9">
        <v>32</v>
      </c>
      <c r="I76" s="9" t="s">
        <v>57</v>
      </c>
      <c r="J76" s="9">
        <v>4</v>
      </c>
      <c r="K76" s="9">
        <v>59</v>
      </c>
      <c r="L76" s="9">
        <v>3815</v>
      </c>
      <c r="M76" s="9">
        <v>1</v>
      </c>
      <c r="N76" s="9">
        <v>-2.2349999999999999</v>
      </c>
      <c r="O76" s="9">
        <v>7.13</v>
      </c>
      <c r="P76">
        <v>19800</v>
      </c>
      <c r="Q76">
        <f t="shared" si="29"/>
        <v>4.2966651902615309</v>
      </c>
      <c r="S76">
        <f t="shared" si="22"/>
        <v>4.2966651902615309</v>
      </c>
      <c r="T76">
        <f t="shared" si="14"/>
        <v>0.44957277172371102</v>
      </c>
      <c r="U76">
        <f t="shared" si="30"/>
        <v>0.14082431711503332</v>
      </c>
      <c r="Y76">
        <v>3.0223336288035001</v>
      </c>
      <c r="Z76">
        <v>3.8753506961317101</v>
      </c>
      <c r="AA76">
        <f t="shared" si="23"/>
        <v>-0.85301706732821003</v>
      </c>
      <c r="AB76">
        <f t="shared" si="24"/>
        <v>0.79441293267178992</v>
      </c>
      <c r="AC76">
        <f t="shared" si="25"/>
        <v>0.26785608454720444</v>
      </c>
      <c r="AE76">
        <v>8157</v>
      </c>
      <c r="AF76">
        <f t="shared" si="26"/>
        <v>3.9115304623071627</v>
      </c>
      <c r="AH76">
        <v>3.9115304623071632</v>
      </c>
      <c r="AI76">
        <f t="shared" si="27"/>
        <v>0.73706411536971306</v>
      </c>
      <c r="AJ76">
        <f t="shared" si="28"/>
        <v>0.29081180106946913</v>
      </c>
    </row>
    <row r="77" spans="1:36" x14ac:dyDescent="0.4">
      <c r="A77" s="10" t="s">
        <v>98</v>
      </c>
      <c r="B77" s="9" t="s">
        <v>55</v>
      </c>
      <c r="C77" s="9">
        <v>14.62</v>
      </c>
      <c r="D77" s="9" t="s">
        <v>55</v>
      </c>
      <c r="E77" s="9">
        <v>14.62</v>
      </c>
      <c r="F77" s="9" t="s">
        <v>32</v>
      </c>
      <c r="G77" s="9">
        <v>50</v>
      </c>
      <c r="H77" s="9">
        <v>19.25</v>
      </c>
      <c r="I77" s="9" t="s">
        <v>64</v>
      </c>
      <c r="J77" s="9">
        <v>1.5</v>
      </c>
      <c r="K77" s="9">
        <v>29.25</v>
      </c>
      <c r="L77" s="9">
        <v>163.30000000000001</v>
      </c>
      <c r="M77" s="9">
        <v>0.34339999999999998</v>
      </c>
      <c r="N77" s="9">
        <v>-0.56499999999999995</v>
      </c>
      <c r="O77" s="9">
        <v>6.22</v>
      </c>
      <c r="P77">
        <v>23236.666666666701</v>
      </c>
      <c r="Q77">
        <f t="shared" si="29"/>
        <v>4.3661738280168452</v>
      </c>
      <c r="S77">
        <f t="shared" si="22"/>
        <v>4.3661738280168452</v>
      </c>
      <c r="T77">
        <f t="shared" si="14"/>
        <v>0.51908140947902526</v>
      </c>
      <c r="U77">
        <f t="shared" si="30"/>
        <v>0.16259722477569558</v>
      </c>
      <c r="Y77">
        <v>3.0918422665588201</v>
      </c>
      <c r="Z77">
        <v>3.8753506961317101</v>
      </c>
      <c r="AA77">
        <f t="shared" si="23"/>
        <v>-0.78350842957289002</v>
      </c>
      <c r="AB77">
        <f t="shared" si="24"/>
        <v>0.86392157042710993</v>
      </c>
      <c r="AC77">
        <f t="shared" si="25"/>
        <v>0.29129265108034541</v>
      </c>
      <c r="AE77">
        <v>8971</v>
      </c>
      <c r="AF77">
        <f t="shared" si="26"/>
        <v>3.9528408566757016</v>
      </c>
      <c r="AH77">
        <v>3.9528408566757021</v>
      </c>
      <c r="AI77">
        <f t="shared" si="27"/>
        <v>0.77837450973825195</v>
      </c>
      <c r="AJ77">
        <f t="shared" si="28"/>
        <v>0.30711099396014302</v>
      </c>
    </row>
    <row r="78" spans="1:36" x14ac:dyDescent="0.4">
      <c r="A78" s="10" t="s">
        <v>99</v>
      </c>
      <c r="B78" s="9" t="s">
        <v>55</v>
      </c>
      <c r="C78" s="9">
        <v>18.11</v>
      </c>
      <c r="D78" s="9" t="s">
        <v>35</v>
      </c>
      <c r="E78" s="9">
        <v>33.64</v>
      </c>
      <c r="F78" s="9" t="s">
        <v>32</v>
      </c>
      <c r="G78" s="9">
        <v>25</v>
      </c>
      <c r="H78" s="9">
        <v>19.25</v>
      </c>
      <c r="I78" s="9" t="s">
        <v>30</v>
      </c>
      <c r="J78" s="9">
        <v>4</v>
      </c>
      <c r="K78" s="9">
        <v>51.75</v>
      </c>
      <c r="L78" s="9">
        <v>82.88</v>
      </c>
      <c r="M78" s="9">
        <v>0.18590000000000001</v>
      </c>
      <c r="N78" s="9">
        <v>-5.282</v>
      </c>
      <c r="O78" s="9">
        <v>6.65</v>
      </c>
      <c r="P78">
        <v>80796.666666666701</v>
      </c>
      <c r="Q78">
        <f t="shared" si="29"/>
        <v>4.9073934439659901</v>
      </c>
      <c r="S78">
        <f t="shared" si="22"/>
        <v>4.9073934439659901</v>
      </c>
      <c r="T78">
        <f t="shared" si="14"/>
        <v>1.0603010254281702</v>
      </c>
      <c r="U78">
        <f t="shared" si="30"/>
        <v>0.33212902834350305</v>
      </c>
      <c r="Y78">
        <v>3.6330618825079601</v>
      </c>
      <c r="Z78">
        <v>3.8753506961317101</v>
      </c>
      <c r="AA78">
        <f t="shared" si="23"/>
        <v>-0.24228881362374999</v>
      </c>
      <c r="AB78">
        <f t="shared" si="24"/>
        <v>1.40514118637625</v>
      </c>
      <c r="AC78">
        <f t="shared" si="25"/>
        <v>0.47377830966688811</v>
      </c>
      <c r="AE78">
        <v>34615</v>
      </c>
      <c r="AF78">
        <f t="shared" si="26"/>
        <v>4.5392643359474549</v>
      </c>
      <c r="AH78">
        <v>4.5392643359474549</v>
      </c>
      <c r="AI78">
        <f t="shared" si="27"/>
        <v>1.3647979890100048</v>
      </c>
      <c r="AJ78">
        <f t="shared" si="28"/>
        <v>0.53848688737329642</v>
      </c>
    </row>
    <row r="79" spans="1:36" x14ac:dyDescent="0.4">
      <c r="A79" s="10" t="s">
        <v>100</v>
      </c>
      <c r="B79" s="9" t="s">
        <v>33</v>
      </c>
      <c r="C79" s="9">
        <v>36.08</v>
      </c>
      <c r="D79" s="9" t="s">
        <v>55</v>
      </c>
      <c r="E79" s="9">
        <v>19.420000000000002</v>
      </c>
      <c r="F79" s="9" t="s">
        <v>29</v>
      </c>
      <c r="G79" s="9">
        <v>15</v>
      </c>
      <c r="H79" s="9">
        <v>25.5</v>
      </c>
      <c r="I79" s="9" t="s">
        <v>30</v>
      </c>
      <c r="J79" s="9">
        <v>4</v>
      </c>
      <c r="K79" s="9">
        <v>55.5</v>
      </c>
      <c r="L79" s="9">
        <v>91.85</v>
      </c>
      <c r="M79" s="9">
        <v>0.24390000000000001</v>
      </c>
      <c r="N79" s="9">
        <v>-3.93</v>
      </c>
      <c r="O79" s="9">
        <v>6.48</v>
      </c>
      <c r="P79">
        <v>295000</v>
      </c>
      <c r="Q79">
        <f t="shared" si="29"/>
        <v>5.4698220159781634</v>
      </c>
      <c r="S79">
        <f t="shared" si="22"/>
        <v>5.4698220159781634</v>
      </c>
      <c r="T79">
        <f t="shared" si="14"/>
        <v>1.6227295974403435</v>
      </c>
      <c r="U79">
        <f t="shared" si="30"/>
        <v>0.50830433201218916</v>
      </c>
      <c r="Y79">
        <v>4.1954904545201304</v>
      </c>
      <c r="Z79">
        <v>3.8753506961317101</v>
      </c>
      <c r="AA79">
        <f t="shared" si="23"/>
        <v>0.32013975838842024</v>
      </c>
      <c r="AB79">
        <f t="shared" si="24"/>
        <v>1.9675697583884202</v>
      </c>
      <c r="AC79">
        <f t="shared" si="25"/>
        <v>0.66341509545030386</v>
      </c>
      <c r="AE79">
        <v>39645</v>
      </c>
      <c r="AF79">
        <f t="shared" si="26"/>
        <v>4.5981884221873912</v>
      </c>
      <c r="AH79">
        <v>4.5981884221873912</v>
      </c>
      <c r="AI79">
        <f t="shared" si="27"/>
        <v>1.4237220752499411</v>
      </c>
      <c r="AJ79">
        <f t="shared" si="28"/>
        <v>0.56173563777164304</v>
      </c>
    </row>
    <row r="80" spans="1:36" x14ac:dyDescent="0.4">
      <c r="A80" s="11" t="s">
        <v>101</v>
      </c>
      <c r="Q80" t="e">
        <f t="shared" si="29"/>
        <v>#NUM!</v>
      </c>
      <c r="U80">
        <f t="shared" si="30"/>
        <v>0</v>
      </c>
    </row>
    <row r="81" spans="1:36" x14ac:dyDescent="0.4">
      <c r="A81" s="71" t="s">
        <v>102</v>
      </c>
      <c r="B81" s="12" t="s">
        <v>35</v>
      </c>
      <c r="C81" s="12">
        <v>35.200000000000003</v>
      </c>
      <c r="D81" s="12" t="s">
        <v>35</v>
      </c>
      <c r="E81" s="12">
        <v>8.8000000000000007</v>
      </c>
      <c r="F81" s="13" t="s">
        <v>29</v>
      </c>
      <c r="G81" s="12">
        <v>15</v>
      </c>
      <c r="H81" s="12">
        <v>38.5</v>
      </c>
      <c r="I81" s="12" t="s">
        <v>57</v>
      </c>
      <c r="J81" s="12">
        <v>2.5</v>
      </c>
      <c r="K81" s="73">
        <v>44</v>
      </c>
      <c r="P81">
        <v>754933.33333333302</v>
      </c>
      <c r="Q81" s="75">
        <f t="shared" si="29"/>
        <v>5.877908601637384</v>
      </c>
      <c r="U81">
        <f t="shared" si="30"/>
        <v>0</v>
      </c>
      <c r="AE81">
        <v>17820</v>
      </c>
      <c r="AF81">
        <f>LOG10(AE81)</f>
        <v>4.2509076997008561</v>
      </c>
      <c r="AH81">
        <v>4.2509076997008561</v>
      </c>
      <c r="AI81">
        <f>AH81-3.17446634693745</f>
        <v>1.076441352763406</v>
      </c>
      <c r="AJ81">
        <f>AI81/2.53450552095595</f>
        <v>0.42471454248693058</v>
      </c>
    </row>
    <row r="82" spans="1:36" ht="14.25" customHeight="1" thickBot="1" x14ac:dyDescent="0.45">
      <c r="A82" s="71" t="s">
        <v>103</v>
      </c>
      <c r="B82" s="12" t="s">
        <v>35</v>
      </c>
      <c r="C82" s="12">
        <v>17.149999999999999</v>
      </c>
      <c r="D82" s="12" t="s">
        <v>34</v>
      </c>
      <c r="E82" s="12">
        <v>31.85</v>
      </c>
      <c r="F82" s="12" t="s">
        <v>32</v>
      </c>
      <c r="G82" s="12">
        <v>15</v>
      </c>
      <c r="H82" s="12">
        <v>32</v>
      </c>
      <c r="I82" s="12" t="s">
        <v>57</v>
      </c>
      <c r="J82" s="12">
        <v>4</v>
      </c>
      <c r="K82" s="73">
        <v>49</v>
      </c>
      <c r="P82">
        <v>136280</v>
      </c>
      <c r="Q82" s="75">
        <f t="shared" si="29"/>
        <v>5.1344321248958398</v>
      </c>
      <c r="U82">
        <f t="shared" si="30"/>
        <v>0</v>
      </c>
      <c r="AE82">
        <v>33830</v>
      </c>
      <c r="AF82">
        <f>LOG10(AE82)</f>
        <v>4.5293019977879805</v>
      </c>
      <c r="AH82">
        <v>4.5293019977879796</v>
      </c>
      <c r="AI82">
        <f>AH82-3.17446634693745</f>
        <v>1.3548356508505295</v>
      </c>
      <c r="AJ82">
        <f>AI82/2.53450552095595</f>
        <v>0.5345562042175076</v>
      </c>
    </row>
    <row r="83" spans="1:36" x14ac:dyDescent="0.4">
      <c r="A83" s="71" t="s">
        <v>104</v>
      </c>
      <c r="B83" s="12" t="s">
        <v>27</v>
      </c>
      <c r="C83" s="12">
        <v>25</v>
      </c>
      <c r="D83" s="12" t="s">
        <v>31</v>
      </c>
      <c r="E83" s="12">
        <v>25</v>
      </c>
      <c r="F83" s="12" t="s">
        <v>29</v>
      </c>
      <c r="G83" s="12">
        <v>10</v>
      </c>
      <c r="H83" s="12">
        <v>38.5</v>
      </c>
      <c r="I83" s="12" t="s">
        <v>30</v>
      </c>
      <c r="J83" s="14">
        <v>1.5</v>
      </c>
      <c r="K83" s="12">
        <v>50</v>
      </c>
      <c r="P83">
        <v>53420</v>
      </c>
      <c r="Q83" s="73">
        <f t="shared" si="29"/>
        <v>4.7277038836853542</v>
      </c>
      <c r="U83">
        <f t="shared" si="30"/>
        <v>0</v>
      </c>
      <c r="AE83">
        <v>6452.5</v>
      </c>
      <c r="AF83">
        <f>LOG10(AE83)</f>
        <v>3.8097280132159064</v>
      </c>
      <c r="AH83">
        <v>3.8097280132159059</v>
      </c>
      <c r="AI83">
        <f>AH83-3.17446634693745</f>
        <v>0.63526166627845582</v>
      </c>
      <c r="AJ83">
        <f>AI83/2.53450552095595</f>
        <v>0.25064520910526622</v>
      </c>
    </row>
    <row r="84" spans="1:36" x14ac:dyDescent="0.4">
      <c r="A84" s="71" t="s">
        <v>105</v>
      </c>
      <c r="B84" s="12" t="s">
        <v>31</v>
      </c>
      <c r="C84" s="12">
        <v>33</v>
      </c>
      <c r="D84" s="12" t="s">
        <v>35</v>
      </c>
      <c r="E84" s="12">
        <v>33</v>
      </c>
      <c r="F84" s="12" t="s">
        <v>29</v>
      </c>
      <c r="G84" s="12">
        <v>30</v>
      </c>
      <c r="H84" s="12">
        <v>0</v>
      </c>
      <c r="I84" s="12" t="s">
        <v>30</v>
      </c>
      <c r="J84" s="15">
        <v>4</v>
      </c>
      <c r="K84" s="12">
        <v>66</v>
      </c>
      <c r="P84">
        <v>289976.66666666698</v>
      </c>
      <c r="Q84" s="73">
        <f t="shared" si="29"/>
        <v>5.4623630532589429</v>
      </c>
      <c r="U84">
        <f t="shared" si="30"/>
        <v>0</v>
      </c>
      <c r="AE84">
        <v>20920</v>
      </c>
      <c r="AF84">
        <f>LOG10(AE84)</f>
        <v>4.3205616801952367</v>
      </c>
      <c r="AH84">
        <v>4.3205616801952367</v>
      </c>
      <c r="AI84">
        <f>AH84-3.17446634693745</f>
        <v>1.1460953332577866</v>
      </c>
      <c r="AJ84">
        <f>AI84/2.53450552095595</f>
        <v>0.45219681858318028</v>
      </c>
    </row>
    <row r="85" spans="1:36" ht="14.25" customHeight="1" thickBot="1" x14ac:dyDescent="0.45">
      <c r="A85" s="71" t="s">
        <v>106</v>
      </c>
      <c r="B85" s="12" t="s">
        <v>35</v>
      </c>
      <c r="C85" s="12">
        <v>25</v>
      </c>
      <c r="D85" s="12" t="s">
        <v>31</v>
      </c>
      <c r="E85" s="12">
        <v>25</v>
      </c>
      <c r="F85" s="12" t="s">
        <v>29</v>
      </c>
      <c r="G85" s="12">
        <v>10</v>
      </c>
      <c r="H85" s="12">
        <v>38.5</v>
      </c>
      <c r="I85" s="12" t="s">
        <v>30</v>
      </c>
      <c r="J85" s="16">
        <v>1.5</v>
      </c>
      <c r="K85" s="12">
        <v>50</v>
      </c>
      <c r="P85">
        <v>153253.33333333299</v>
      </c>
      <c r="Q85" s="73">
        <f t="shared" si="29"/>
        <v>5.1854099294059779</v>
      </c>
      <c r="U85">
        <f t="shared" si="30"/>
        <v>0</v>
      </c>
      <c r="AE85">
        <v>2849</v>
      </c>
      <c r="AF85">
        <f>LOG10(AE85)</f>
        <v>3.4546924492394768</v>
      </c>
      <c r="AH85">
        <v>3.4546924492394768</v>
      </c>
      <c r="AI85">
        <f>AH85-3.17446634693745</f>
        <v>0.28022610230202671</v>
      </c>
      <c r="AJ85">
        <f>AI85/2.53450552095595</f>
        <v>0.11056440792298319</v>
      </c>
    </row>
    <row r="86" spans="1:36" x14ac:dyDescent="0.4">
      <c r="A86" s="7" t="s">
        <v>45</v>
      </c>
      <c r="B86" s="3" t="s">
        <v>46</v>
      </c>
      <c r="C86" s="3" t="s">
        <v>47</v>
      </c>
      <c r="D86" s="3" t="s">
        <v>48</v>
      </c>
      <c r="E86" s="3" t="s">
        <v>49</v>
      </c>
      <c r="F86" s="3" t="s">
        <v>50</v>
      </c>
      <c r="G86" s="3" t="s">
        <v>51</v>
      </c>
      <c r="H86" s="3" t="s">
        <v>52</v>
      </c>
      <c r="I86" s="3" t="s">
        <v>7</v>
      </c>
      <c r="J86" s="3" t="s">
        <v>53</v>
      </c>
      <c r="K86" s="3" t="s">
        <v>9</v>
      </c>
      <c r="L86" s="2" t="s">
        <v>10</v>
      </c>
      <c r="M86" s="2" t="s">
        <v>11</v>
      </c>
      <c r="N86" s="2" t="s">
        <v>12</v>
      </c>
      <c r="O86" s="2"/>
      <c r="P86" s="2" t="s">
        <v>14</v>
      </c>
      <c r="Q86" t="e">
        <f t="shared" si="29"/>
        <v>#VALUE!</v>
      </c>
      <c r="U86">
        <f t="shared" si="30"/>
        <v>0</v>
      </c>
      <c r="V86" s="2"/>
      <c r="W86" s="2"/>
      <c r="X86" s="2"/>
      <c r="AE86" s="65" t="s">
        <v>107</v>
      </c>
    </row>
    <row r="87" spans="1:36" x14ac:dyDescent="0.4">
      <c r="A87" s="17" t="s">
        <v>108</v>
      </c>
      <c r="B87" s="18" t="s">
        <v>55</v>
      </c>
      <c r="C87" s="19">
        <v>28.14</v>
      </c>
      <c r="D87" s="19" t="s">
        <v>35</v>
      </c>
      <c r="E87" s="19">
        <v>12.06</v>
      </c>
      <c r="F87" s="19" t="s">
        <v>29</v>
      </c>
      <c r="G87" s="19">
        <v>25.12</v>
      </c>
      <c r="H87" s="19">
        <v>32.159999999999997</v>
      </c>
      <c r="I87" s="19" t="s">
        <v>30</v>
      </c>
      <c r="J87" s="19">
        <v>2.5099999999999998</v>
      </c>
      <c r="K87" s="19">
        <v>40.200000000000003</v>
      </c>
      <c r="L87" s="20">
        <v>115</v>
      </c>
      <c r="M87" s="20">
        <v>0.2079</v>
      </c>
      <c r="N87" s="20">
        <v>-0.75749999999999995</v>
      </c>
      <c r="O87" s="20">
        <v>5.99</v>
      </c>
      <c r="P87" s="2">
        <v>79390</v>
      </c>
      <c r="Q87">
        <f t="shared" si="29"/>
        <v>4.8997658019443859</v>
      </c>
      <c r="S87">
        <f t="shared" ref="S87:S115" si="31">Q87+1.105636576</f>
        <v>6.0054023779443861</v>
      </c>
      <c r="T87">
        <f t="shared" ref="T87:T115" si="32">S87-3.84709241853782</f>
        <v>2.1583099594065662</v>
      </c>
      <c r="U87">
        <f t="shared" si="30"/>
        <v>0.67606969387993898</v>
      </c>
      <c r="V87" s="2"/>
      <c r="W87" s="2"/>
      <c r="X87" s="2"/>
      <c r="Y87">
        <v>4.8997658019443904</v>
      </c>
      <c r="Z87">
        <v>3.8753506961317101</v>
      </c>
      <c r="AA87">
        <f t="shared" ref="AA87:AA115" si="33">Y87-Z87</f>
        <v>1.0244151058126802</v>
      </c>
      <c r="AB87">
        <f t="shared" ref="AB87:AB115" si="34">AA87+1.64743</f>
        <v>2.6718451058126802</v>
      </c>
      <c r="AC87">
        <f t="shared" ref="AC87:AC115" si="35">AB87/2.96582</f>
        <v>0.90087905058725082</v>
      </c>
      <c r="AE87" s="60">
        <v>141543.33333333331</v>
      </c>
      <c r="AF87">
        <f t="shared" ref="AF87:AF115" si="36">LOG10(AE87)</f>
        <v>5.1508894189873882</v>
      </c>
      <c r="AH87">
        <f t="shared" ref="AH87:AH115" si="37">AF87-0.335423795277182</f>
        <v>4.8154656237102058</v>
      </c>
      <c r="AI87">
        <f t="shared" ref="AI87:AI115" si="38">AH87-3.17446634693745</f>
        <v>1.6409992767727557</v>
      </c>
      <c r="AJ87">
        <f t="shared" ref="AJ87:AJ115" si="39">AI87/2.53450552095595</f>
        <v>0.64746328749515336</v>
      </c>
    </row>
    <row r="88" spans="1:36" x14ac:dyDescent="0.4">
      <c r="A88" s="17" t="s">
        <v>109</v>
      </c>
      <c r="B88" s="18" t="s">
        <v>55</v>
      </c>
      <c r="C88" s="19">
        <v>24.12</v>
      </c>
      <c r="D88" s="19" t="s">
        <v>35</v>
      </c>
      <c r="E88" s="19">
        <v>16.079999999999998</v>
      </c>
      <c r="F88" s="19" t="s">
        <v>29</v>
      </c>
      <c r="G88" s="19">
        <v>25.12</v>
      </c>
      <c r="H88" s="19">
        <v>32.159999999999997</v>
      </c>
      <c r="I88" s="19" t="s">
        <v>30</v>
      </c>
      <c r="J88" s="19">
        <v>2.5099999999999998</v>
      </c>
      <c r="K88" s="19">
        <v>40.200000000000003</v>
      </c>
      <c r="L88" s="20">
        <v>102.5</v>
      </c>
      <c r="M88" s="20">
        <v>0.25950000000000001</v>
      </c>
      <c r="N88" s="20">
        <v>-0.2044</v>
      </c>
      <c r="O88" s="20">
        <v>6.5</v>
      </c>
      <c r="P88" s="2">
        <v>37580</v>
      </c>
      <c r="Q88">
        <f t="shared" si="29"/>
        <v>4.5749567757645071</v>
      </c>
      <c r="S88">
        <f t="shared" si="31"/>
        <v>5.6805933517645073</v>
      </c>
      <c r="T88">
        <f t="shared" si="32"/>
        <v>1.8335009332266874</v>
      </c>
      <c r="U88">
        <f t="shared" si="30"/>
        <v>0.57432641185419619</v>
      </c>
      <c r="V88" s="2"/>
      <c r="W88" s="2"/>
      <c r="X88" s="2"/>
      <c r="Y88">
        <v>4.5749567757645098</v>
      </c>
      <c r="Z88">
        <v>3.8753506961317101</v>
      </c>
      <c r="AA88">
        <f t="shared" si="33"/>
        <v>0.69960607963279964</v>
      </c>
      <c r="AB88">
        <f t="shared" si="34"/>
        <v>2.3470360796327996</v>
      </c>
      <c r="AC88">
        <f t="shared" si="35"/>
        <v>0.79136160644705333</v>
      </c>
      <c r="AE88" s="60">
        <v>152660</v>
      </c>
      <c r="AF88">
        <f t="shared" si="36"/>
        <v>5.1837252580455786</v>
      </c>
      <c r="AH88">
        <f t="shared" si="37"/>
        <v>4.8483014627683962</v>
      </c>
      <c r="AI88">
        <f t="shared" si="38"/>
        <v>1.6738351158309461</v>
      </c>
      <c r="AJ88">
        <f t="shared" si="39"/>
        <v>0.66041880832029853</v>
      </c>
    </row>
    <row r="89" spans="1:36" x14ac:dyDescent="0.4">
      <c r="A89" s="17" t="s">
        <v>110</v>
      </c>
      <c r="B89" s="18" t="s">
        <v>55</v>
      </c>
      <c r="C89" s="19">
        <v>20.100000000000001</v>
      </c>
      <c r="D89" s="19" t="s">
        <v>35</v>
      </c>
      <c r="E89" s="19">
        <v>20.100000000000001</v>
      </c>
      <c r="F89" s="19" t="s">
        <v>29</v>
      </c>
      <c r="G89" s="19">
        <v>25.13</v>
      </c>
      <c r="H89" s="19">
        <v>32.159999999999997</v>
      </c>
      <c r="I89" s="19" t="s">
        <v>30</v>
      </c>
      <c r="J89" s="19">
        <v>2.5099999999999998</v>
      </c>
      <c r="K89" s="19">
        <v>40.200000000000003</v>
      </c>
      <c r="L89" s="20">
        <v>143.6</v>
      </c>
      <c r="M89" s="20">
        <v>0.35210000000000002</v>
      </c>
      <c r="N89" s="20">
        <v>0.30709999999999998</v>
      </c>
      <c r="O89" s="20">
        <v>5.58</v>
      </c>
      <c r="P89" s="2">
        <v>34300</v>
      </c>
      <c r="Q89">
        <f t="shared" si="29"/>
        <v>4.5352941200427708</v>
      </c>
      <c r="S89">
        <f t="shared" si="31"/>
        <v>5.640930696042771</v>
      </c>
      <c r="T89">
        <f t="shared" si="32"/>
        <v>1.7938382775049511</v>
      </c>
      <c r="U89">
        <f t="shared" si="30"/>
        <v>0.56190246903940577</v>
      </c>
      <c r="V89" s="2"/>
      <c r="W89" s="2"/>
      <c r="X89" s="2"/>
      <c r="Y89">
        <v>4.5352941200427699</v>
      </c>
      <c r="Z89">
        <v>3.8753506961317101</v>
      </c>
      <c r="AA89">
        <f t="shared" si="33"/>
        <v>0.65994342391105976</v>
      </c>
      <c r="AB89">
        <f t="shared" si="34"/>
        <v>2.3073734239110597</v>
      </c>
      <c r="AC89">
        <f t="shared" si="35"/>
        <v>0.77798835529838617</v>
      </c>
      <c r="AE89" s="60">
        <v>163200</v>
      </c>
      <c r="AF89">
        <f t="shared" si="36"/>
        <v>5.2127201544178421</v>
      </c>
      <c r="AH89">
        <f t="shared" si="37"/>
        <v>4.8772963591406597</v>
      </c>
      <c r="AI89">
        <f t="shared" si="38"/>
        <v>1.7028300122032096</v>
      </c>
      <c r="AJ89">
        <f t="shared" si="39"/>
        <v>0.67185886877095691</v>
      </c>
    </row>
    <row r="90" spans="1:36" x14ac:dyDescent="0.4">
      <c r="A90" s="17" t="s">
        <v>111</v>
      </c>
      <c r="B90" s="18" t="s">
        <v>55</v>
      </c>
      <c r="C90" s="19">
        <v>16.079999999999998</v>
      </c>
      <c r="D90" s="19" t="s">
        <v>35</v>
      </c>
      <c r="E90" s="19">
        <v>24.12</v>
      </c>
      <c r="F90" s="19" t="s">
        <v>29</v>
      </c>
      <c r="G90" s="19">
        <v>25.13</v>
      </c>
      <c r="H90" s="19">
        <v>32.159999999999997</v>
      </c>
      <c r="I90" s="19" t="s">
        <v>30</v>
      </c>
      <c r="J90" s="19">
        <v>2.5099999999999998</v>
      </c>
      <c r="K90" s="19">
        <v>40.200000000000003</v>
      </c>
      <c r="L90" s="20">
        <v>97.29</v>
      </c>
      <c r="M90" s="20">
        <v>0.23910000000000001</v>
      </c>
      <c r="N90" s="20">
        <v>-2.984</v>
      </c>
      <c r="O90" s="20">
        <v>6.1</v>
      </c>
      <c r="P90" s="2">
        <v>43046.666666666701</v>
      </c>
      <c r="Q90">
        <f t="shared" si="29"/>
        <v>4.6339395273501589</v>
      </c>
      <c r="S90">
        <f t="shared" si="31"/>
        <v>5.7395761033501591</v>
      </c>
      <c r="T90">
        <f t="shared" si="32"/>
        <v>1.8924836848123392</v>
      </c>
      <c r="U90">
        <f t="shared" si="30"/>
        <v>0.59280218760406678</v>
      </c>
      <c r="V90" s="2"/>
      <c r="W90" s="2"/>
      <c r="X90" s="2"/>
      <c r="Y90">
        <v>4.6339395273501598</v>
      </c>
      <c r="Z90">
        <v>3.8753506961317101</v>
      </c>
      <c r="AA90">
        <f t="shared" si="33"/>
        <v>0.75858883121844967</v>
      </c>
      <c r="AB90">
        <f t="shared" si="34"/>
        <v>2.4060188312184496</v>
      </c>
      <c r="AC90">
        <f t="shared" si="35"/>
        <v>0.81124910858327537</v>
      </c>
      <c r="AE90" s="60">
        <v>164700</v>
      </c>
      <c r="AF90">
        <f t="shared" si="36"/>
        <v>5.2166935991697541</v>
      </c>
      <c r="AH90">
        <f t="shared" si="37"/>
        <v>4.8812698038925717</v>
      </c>
      <c r="AI90">
        <f t="shared" si="38"/>
        <v>1.7068034569551216</v>
      </c>
      <c r="AJ90">
        <f t="shared" si="39"/>
        <v>0.67342660840263602</v>
      </c>
    </row>
    <row r="91" spans="1:36" x14ac:dyDescent="0.4">
      <c r="A91" s="17" t="s">
        <v>112</v>
      </c>
      <c r="B91" s="18" t="s">
        <v>55</v>
      </c>
      <c r="C91" s="19">
        <v>29.17</v>
      </c>
      <c r="D91" s="19" t="s">
        <v>35</v>
      </c>
      <c r="E91" s="19">
        <v>12.5</v>
      </c>
      <c r="F91" s="19" t="s">
        <v>29</v>
      </c>
      <c r="G91" s="19">
        <v>15.62</v>
      </c>
      <c r="H91" s="19">
        <v>40.1</v>
      </c>
      <c r="I91" s="19" t="s">
        <v>30</v>
      </c>
      <c r="J91" s="19">
        <v>2.6</v>
      </c>
      <c r="K91" s="19">
        <v>41.67</v>
      </c>
      <c r="L91" s="20">
        <v>104.5</v>
      </c>
      <c r="M91" s="20">
        <v>0.23280000000000001</v>
      </c>
      <c r="N91" s="20">
        <v>-1.454</v>
      </c>
      <c r="O91" s="20">
        <v>6.55</v>
      </c>
      <c r="P91" s="2">
        <v>31040</v>
      </c>
      <c r="Q91">
        <f t="shared" si="29"/>
        <v>4.4919217125861506</v>
      </c>
      <c r="S91">
        <f t="shared" si="31"/>
        <v>5.5975582885861508</v>
      </c>
      <c r="T91">
        <f t="shared" si="32"/>
        <v>1.7504658700483309</v>
      </c>
      <c r="U91">
        <f t="shared" si="30"/>
        <v>0.54831648241860753</v>
      </c>
      <c r="V91" s="2"/>
      <c r="W91" s="2"/>
      <c r="X91" s="2"/>
      <c r="Y91">
        <v>4.4919217125861497</v>
      </c>
      <c r="Z91">
        <v>3.8753506961317101</v>
      </c>
      <c r="AA91">
        <f t="shared" si="33"/>
        <v>0.61657101645443957</v>
      </c>
      <c r="AB91">
        <f t="shared" si="34"/>
        <v>2.2640010164544395</v>
      </c>
      <c r="AC91">
        <f t="shared" si="35"/>
        <v>0.76336426905693522</v>
      </c>
      <c r="AE91" s="60">
        <v>136356.66666666669</v>
      </c>
      <c r="AF91">
        <f t="shared" si="36"/>
        <v>5.1346763760566541</v>
      </c>
      <c r="AH91">
        <f t="shared" si="37"/>
        <v>4.7992525807794717</v>
      </c>
      <c r="AI91">
        <f t="shared" si="38"/>
        <v>1.6247862338420216</v>
      </c>
      <c r="AJ91">
        <f t="shared" si="39"/>
        <v>0.641066362021257</v>
      </c>
    </row>
    <row r="92" spans="1:36" x14ac:dyDescent="0.4">
      <c r="A92" s="17" t="s">
        <v>113</v>
      </c>
      <c r="B92" s="18" t="s">
        <v>55</v>
      </c>
      <c r="C92" s="19">
        <v>25</v>
      </c>
      <c r="D92" s="19" t="s">
        <v>35</v>
      </c>
      <c r="E92" s="19">
        <v>16.670000000000002</v>
      </c>
      <c r="F92" s="19" t="s">
        <v>29</v>
      </c>
      <c r="G92" s="19">
        <v>15.62</v>
      </c>
      <c r="H92" s="19">
        <v>40.11</v>
      </c>
      <c r="I92" s="19" t="s">
        <v>30</v>
      </c>
      <c r="J92" s="19">
        <v>2.6</v>
      </c>
      <c r="K92" s="19">
        <v>41.67</v>
      </c>
      <c r="L92" s="20">
        <v>144.80000000000001</v>
      </c>
      <c r="M92" s="20">
        <v>0.25629999999999997</v>
      </c>
      <c r="N92" s="20">
        <v>-0.94899999999999995</v>
      </c>
      <c r="O92" s="20">
        <v>6.12</v>
      </c>
      <c r="P92" s="2">
        <v>43946.666666666701</v>
      </c>
      <c r="Q92">
        <f t="shared" si="29"/>
        <v>4.6429259396333782</v>
      </c>
      <c r="S92">
        <f t="shared" si="31"/>
        <v>5.7485625156333784</v>
      </c>
      <c r="T92">
        <f t="shared" si="32"/>
        <v>1.9014700970955585</v>
      </c>
      <c r="U92">
        <f t="shared" si="30"/>
        <v>0.5956170942280743</v>
      </c>
      <c r="V92" s="2"/>
      <c r="W92" s="2"/>
      <c r="X92" s="2"/>
      <c r="Y92">
        <v>4.64292593963338</v>
      </c>
      <c r="Z92">
        <v>3.8753506961317101</v>
      </c>
      <c r="AA92">
        <f t="shared" si="33"/>
        <v>0.76757524350166983</v>
      </c>
      <c r="AB92">
        <f t="shared" si="34"/>
        <v>2.4150052435016698</v>
      </c>
      <c r="AC92">
        <f t="shared" si="35"/>
        <v>0.81427910105861778</v>
      </c>
      <c r="AE92" s="60">
        <v>132333.33333333331</v>
      </c>
      <c r="AF92">
        <f t="shared" si="36"/>
        <v>5.1216692520434526</v>
      </c>
      <c r="AH92">
        <f t="shared" si="37"/>
        <v>4.7862454567662702</v>
      </c>
      <c r="AI92">
        <f t="shared" si="38"/>
        <v>1.6117791098288201</v>
      </c>
      <c r="AJ92">
        <f t="shared" si="39"/>
        <v>0.63593434557637052</v>
      </c>
    </row>
    <row r="93" spans="1:36" x14ac:dyDescent="0.4">
      <c r="A93" s="21" t="s">
        <v>114</v>
      </c>
      <c r="B93" s="22" t="s">
        <v>55</v>
      </c>
      <c r="C93" s="23">
        <v>24.12</v>
      </c>
      <c r="D93" s="23" t="s">
        <v>35</v>
      </c>
      <c r="E93" s="23">
        <v>16.079999999999998</v>
      </c>
      <c r="F93" s="23" t="s">
        <v>29</v>
      </c>
      <c r="G93" s="23">
        <v>25.12</v>
      </c>
      <c r="H93" s="23">
        <v>32.159999999999997</v>
      </c>
      <c r="I93" s="23" t="s">
        <v>64</v>
      </c>
      <c r="J93" s="23">
        <v>2.5099999999999998</v>
      </c>
      <c r="K93" s="23">
        <v>40.200000000000003</v>
      </c>
      <c r="L93" s="20">
        <v>138.69999999999999</v>
      </c>
      <c r="M93" s="20">
        <v>0.15310000000000001</v>
      </c>
      <c r="N93" s="20">
        <v>-1.726</v>
      </c>
      <c r="O93" s="20">
        <v>6.23</v>
      </c>
      <c r="P93" s="2">
        <v>38133.333333333299</v>
      </c>
      <c r="Q93">
        <f t="shared" si="29"/>
        <v>4.5813047697373426</v>
      </c>
      <c r="S93">
        <f t="shared" si="31"/>
        <v>5.6869413457373428</v>
      </c>
      <c r="T93">
        <f t="shared" si="32"/>
        <v>1.8398489271995229</v>
      </c>
      <c r="U93">
        <f t="shared" si="30"/>
        <v>0.57631485949271177</v>
      </c>
      <c r="V93" s="2"/>
      <c r="W93" s="2"/>
      <c r="X93" s="2"/>
      <c r="Y93">
        <v>4.5813047697373399</v>
      </c>
      <c r="Z93">
        <v>3.8753506961317101</v>
      </c>
      <c r="AA93">
        <f t="shared" si="33"/>
        <v>0.70595407360562978</v>
      </c>
      <c r="AB93">
        <f t="shared" si="34"/>
        <v>2.3533840736056297</v>
      </c>
      <c r="AC93">
        <f t="shared" si="35"/>
        <v>0.79350199054751458</v>
      </c>
      <c r="AE93" s="60">
        <v>219933.33333333331</v>
      </c>
      <c r="AF93">
        <f t="shared" si="36"/>
        <v>5.3422910564896622</v>
      </c>
      <c r="AH93">
        <f t="shared" si="37"/>
        <v>5.0068672612124798</v>
      </c>
      <c r="AI93">
        <f t="shared" si="38"/>
        <v>1.8324009142750297</v>
      </c>
      <c r="AJ93">
        <f t="shared" si="39"/>
        <v>0.72298162269691779</v>
      </c>
    </row>
    <row r="94" spans="1:36" x14ac:dyDescent="0.4">
      <c r="A94" s="21" t="s">
        <v>115</v>
      </c>
      <c r="B94" s="22" t="s">
        <v>55</v>
      </c>
      <c r="C94" s="23">
        <v>20.100000000000001</v>
      </c>
      <c r="D94" s="23" t="s">
        <v>35</v>
      </c>
      <c r="E94" s="23">
        <v>20.100000000000001</v>
      </c>
      <c r="F94" s="23" t="s">
        <v>29</v>
      </c>
      <c r="G94" s="23">
        <v>25.13</v>
      </c>
      <c r="H94" s="23">
        <v>32.159999999999997</v>
      </c>
      <c r="I94" s="23" t="s">
        <v>64</v>
      </c>
      <c r="J94" s="23">
        <v>2.5099999999999998</v>
      </c>
      <c r="K94" s="23">
        <v>40.200000000000003</v>
      </c>
      <c r="L94" s="20">
        <v>154.6</v>
      </c>
      <c r="M94" s="20">
        <v>0.13980000000000001</v>
      </c>
      <c r="N94" s="20">
        <v>-2.5489999999999999</v>
      </c>
      <c r="O94" s="20">
        <v>6.68</v>
      </c>
      <c r="P94" s="2">
        <v>62340</v>
      </c>
      <c r="Q94">
        <f t="shared" si="29"/>
        <v>4.7947667979408211</v>
      </c>
      <c r="S94">
        <f t="shared" si="31"/>
        <v>5.9004033739408213</v>
      </c>
      <c r="T94">
        <f t="shared" si="32"/>
        <v>2.0533109554030013</v>
      </c>
      <c r="U94">
        <f t="shared" si="30"/>
        <v>0.64317977267793214</v>
      </c>
      <c r="V94" s="2"/>
      <c r="W94" s="2"/>
      <c r="X94" s="2"/>
      <c r="Y94">
        <v>4.7947667979408202</v>
      </c>
      <c r="Z94">
        <v>3.8753506961317101</v>
      </c>
      <c r="AA94">
        <f t="shared" si="33"/>
        <v>0.91941610180911004</v>
      </c>
      <c r="AB94">
        <f t="shared" si="34"/>
        <v>2.56684610180911</v>
      </c>
      <c r="AC94">
        <f t="shared" si="35"/>
        <v>0.865476024104332</v>
      </c>
      <c r="AE94" s="60">
        <v>130233.3333333333</v>
      </c>
      <c r="AF94">
        <f t="shared" si="36"/>
        <v>5.1147221565051222</v>
      </c>
      <c r="AH94">
        <f t="shared" si="37"/>
        <v>4.7792983612279398</v>
      </c>
      <c r="AI94">
        <f t="shared" si="38"/>
        <v>1.6048320142904897</v>
      </c>
      <c r="AJ94">
        <f t="shared" si="39"/>
        <v>0.63319333930083077</v>
      </c>
    </row>
    <row r="95" spans="1:36" x14ac:dyDescent="0.4">
      <c r="A95" s="79" t="s">
        <v>116</v>
      </c>
      <c r="B95" s="25" t="s">
        <v>33</v>
      </c>
      <c r="C95" s="26">
        <v>8</v>
      </c>
      <c r="D95" s="26" t="s">
        <v>35</v>
      </c>
      <c r="E95" s="26">
        <v>17</v>
      </c>
      <c r="F95" s="26" t="s">
        <v>29</v>
      </c>
      <c r="G95" s="26">
        <v>35</v>
      </c>
      <c r="H95" s="26">
        <v>38.5</v>
      </c>
      <c r="I95" s="19" t="s">
        <v>30</v>
      </c>
      <c r="J95" s="26">
        <v>1.5</v>
      </c>
      <c r="K95" s="26">
        <v>25</v>
      </c>
      <c r="L95" s="20">
        <v>133</v>
      </c>
      <c r="M95" s="20">
        <v>0.1192</v>
      </c>
      <c r="N95" s="20">
        <v>-5.3440000000000003</v>
      </c>
      <c r="O95" s="20">
        <v>6.12</v>
      </c>
      <c r="P95" s="2">
        <v>138876.66666666701</v>
      </c>
      <c r="Q95">
        <f t="shared" si="29"/>
        <v>5.1426292839726386</v>
      </c>
      <c r="S95" s="76">
        <f t="shared" si="31"/>
        <v>6.2482658599726388</v>
      </c>
      <c r="T95">
        <f t="shared" si="32"/>
        <v>2.4011734414348189</v>
      </c>
      <c r="U95">
        <f t="shared" si="30"/>
        <v>0.75214432775439977</v>
      </c>
      <c r="V95" s="2"/>
      <c r="W95" s="2"/>
      <c r="X95" s="2"/>
      <c r="Y95">
        <v>5.1426292839726404</v>
      </c>
      <c r="Z95">
        <v>3.8753506961317101</v>
      </c>
      <c r="AA95">
        <f t="shared" si="33"/>
        <v>1.2672785878409303</v>
      </c>
      <c r="AB95">
        <f t="shared" si="34"/>
        <v>2.9147085878409302</v>
      </c>
      <c r="AC95">
        <f t="shared" si="35"/>
        <v>0.98276651578346974</v>
      </c>
      <c r="AE95" s="60">
        <v>159333.33333333331</v>
      </c>
      <c r="AF95">
        <f t="shared" si="36"/>
        <v>5.2023066418924566</v>
      </c>
      <c r="AH95">
        <f t="shared" si="37"/>
        <v>4.8668828466152743</v>
      </c>
      <c r="AI95">
        <f t="shared" si="38"/>
        <v>1.6924164996778241</v>
      </c>
      <c r="AJ95">
        <f t="shared" si="39"/>
        <v>0.66775017283824589</v>
      </c>
    </row>
    <row r="96" spans="1:36" x14ac:dyDescent="0.4">
      <c r="A96" s="24" t="s">
        <v>117</v>
      </c>
      <c r="B96" s="25" t="s">
        <v>33</v>
      </c>
      <c r="C96" s="26">
        <v>10.050000000000001</v>
      </c>
      <c r="D96" s="26" t="s">
        <v>35</v>
      </c>
      <c r="E96" s="26">
        <v>20.100000000000001</v>
      </c>
      <c r="F96" s="26" t="s">
        <v>29</v>
      </c>
      <c r="G96" s="26">
        <v>35.18</v>
      </c>
      <c r="H96" s="26">
        <v>32.159999999999997</v>
      </c>
      <c r="I96" s="19" t="s">
        <v>30</v>
      </c>
      <c r="J96" s="26">
        <v>2.5099999999999998</v>
      </c>
      <c r="K96" s="26">
        <v>30.15</v>
      </c>
      <c r="L96" s="20">
        <v>104.6</v>
      </c>
      <c r="M96" s="20">
        <v>0.20050000000000001</v>
      </c>
      <c r="N96" s="20">
        <v>-3.637</v>
      </c>
      <c r="O96" s="20">
        <v>6.13</v>
      </c>
      <c r="P96" s="2">
        <v>114400</v>
      </c>
      <c r="Q96">
        <f t="shared" si="29"/>
        <v>5.0584260244570052</v>
      </c>
      <c r="S96">
        <f t="shared" si="31"/>
        <v>6.1640626004570054</v>
      </c>
      <c r="T96">
        <f t="shared" si="32"/>
        <v>2.3169701819191855</v>
      </c>
      <c r="U96">
        <f t="shared" si="30"/>
        <v>0.72576847212888074</v>
      </c>
      <c r="V96" s="2"/>
      <c r="W96" s="2"/>
      <c r="X96" s="2"/>
      <c r="Y96">
        <v>5.0584260244570096</v>
      </c>
      <c r="Z96">
        <v>3.8753506961317101</v>
      </c>
      <c r="AA96">
        <f t="shared" si="33"/>
        <v>1.1830753283252995</v>
      </c>
      <c r="AB96">
        <f t="shared" si="34"/>
        <v>2.8305053283252994</v>
      </c>
      <c r="AC96">
        <f t="shared" si="35"/>
        <v>0.95437529193454074</v>
      </c>
      <c r="AE96" s="60">
        <v>124956.6666666667</v>
      </c>
      <c r="AF96">
        <f t="shared" si="36"/>
        <v>5.0967594314853581</v>
      </c>
      <c r="AH96">
        <f t="shared" si="37"/>
        <v>4.7613356362081758</v>
      </c>
      <c r="AI96">
        <f t="shared" si="38"/>
        <v>1.5868692892707257</v>
      </c>
      <c r="AJ96">
        <f t="shared" si="39"/>
        <v>0.62610606927074264</v>
      </c>
    </row>
    <row r="97" spans="1:36" x14ac:dyDescent="0.4">
      <c r="A97" s="79" t="s">
        <v>118</v>
      </c>
      <c r="B97" s="25" t="s">
        <v>33</v>
      </c>
      <c r="C97" s="26">
        <v>11.94</v>
      </c>
      <c r="D97" s="26" t="s">
        <v>35</v>
      </c>
      <c r="E97" s="26">
        <v>22.89</v>
      </c>
      <c r="F97" s="26" t="s">
        <v>29</v>
      </c>
      <c r="G97" s="26">
        <v>34.83</v>
      </c>
      <c r="H97" s="26">
        <v>27.86</v>
      </c>
      <c r="I97" s="19" t="s">
        <v>30</v>
      </c>
      <c r="J97" s="26">
        <v>2.4900000000000002</v>
      </c>
      <c r="K97" s="26">
        <v>34.83</v>
      </c>
      <c r="L97" s="20">
        <v>110.3</v>
      </c>
      <c r="M97" s="20">
        <v>0.1883</v>
      </c>
      <c r="N97" s="20">
        <v>-3.6280000000000001</v>
      </c>
      <c r="O97" s="20">
        <v>5.89</v>
      </c>
      <c r="P97" s="2">
        <v>156220</v>
      </c>
      <c r="Q97">
        <f t="shared" si="29"/>
        <v>5.1937366334696469</v>
      </c>
      <c r="S97" s="76">
        <f t="shared" si="31"/>
        <v>6.2993732094696471</v>
      </c>
      <c r="T97">
        <f t="shared" si="32"/>
        <v>2.4522807909318272</v>
      </c>
      <c r="U97">
        <f t="shared" si="30"/>
        <v>0.76815321006477821</v>
      </c>
      <c r="V97" s="2"/>
      <c r="W97" s="2"/>
      <c r="X97" s="2"/>
      <c r="Y97">
        <v>5.1937366334696504</v>
      </c>
      <c r="Z97">
        <v>3.8753506961317101</v>
      </c>
      <c r="AA97" s="45">
        <f t="shared" si="33"/>
        <v>1.3183859373379403</v>
      </c>
      <c r="AB97">
        <f t="shared" si="34"/>
        <v>2.9658159373379402</v>
      </c>
      <c r="AC97">
        <f t="shared" si="35"/>
        <v>0.99999863017241108</v>
      </c>
      <c r="AE97" s="60">
        <v>94650</v>
      </c>
      <c r="AF97">
        <f t="shared" si="36"/>
        <v>4.9761206182998157</v>
      </c>
      <c r="AH97">
        <f t="shared" si="37"/>
        <v>4.6406968230226333</v>
      </c>
      <c r="AI97">
        <f t="shared" si="38"/>
        <v>1.4662304760851832</v>
      </c>
      <c r="AJ97">
        <f t="shared" si="39"/>
        <v>0.57850750924076066</v>
      </c>
    </row>
    <row r="98" spans="1:36" x14ac:dyDescent="0.4">
      <c r="A98" s="24" t="s">
        <v>119</v>
      </c>
      <c r="B98" s="25" t="s">
        <v>33</v>
      </c>
      <c r="C98" s="26">
        <v>8.7899999999999991</v>
      </c>
      <c r="D98" s="26" t="s">
        <v>35</v>
      </c>
      <c r="E98" s="26">
        <v>18.68</v>
      </c>
      <c r="F98" s="26" t="s">
        <v>29</v>
      </c>
      <c r="G98" s="26">
        <v>27.47</v>
      </c>
      <c r="H98" s="26">
        <v>42.31</v>
      </c>
      <c r="I98" s="19" t="s">
        <v>30</v>
      </c>
      <c r="J98" s="26">
        <v>2.75</v>
      </c>
      <c r="K98" s="26">
        <v>27.47</v>
      </c>
      <c r="L98" s="20">
        <v>95.06</v>
      </c>
      <c r="M98" s="20">
        <v>0.1852</v>
      </c>
      <c r="N98" s="20">
        <v>-4.8520000000000003</v>
      </c>
      <c r="O98" s="20">
        <v>6.06</v>
      </c>
      <c r="P98" s="2">
        <v>76203.333333333299</v>
      </c>
      <c r="Q98">
        <f t="shared" ref="Q98:Q115" si="40">LOG10(P98)</f>
        <v>4.8819739689329147</v>
      </c>
      <c r="S98">
        <f t="shared" si="31"/>
        <v>5.9876105449329149</v>
      </c>
      <c r="T98">
        <f t="shared" si="32"/>
        <v>2.140518126395095</v>
      </c>
      <c r="U98">
        <f t="shared" ref="U98:U129" si="41">T98/3.19243708</f>
        <v>0.67049657448380939</v>
      </c>
      <c r="V98" s="2"/>
      <c r="W98" s="2"/>
      <c r="X98" s="2"/>
      <c r="Y98">
        <v>4.88197396893292</v>
      </c>
      <c r="Z98">
        <v>3.8753506961317101</v>
      </c>
      <c r="AA98">
        <f t="shared" si="33"/>
        <v>1.0066232728012099</v>
      </c>
      <c r="AB98">
        <f t="shared" si="34"/>
        <v>2.6540532728012098</v>
      </c>
      <c r="AC98">
        <f t="shared" si="35"/>
        <v>0.89488009144223513</v>
      </c>
      <c r="AE98" s="60">
        <v>150213.33333333331</v>
      </c>
      <c r="AF98">
        <f t="shared" si="36"/>
        <v>5.1767084835076318</v>
      </c>
      <c r="AH98">
        <f t="shared" si="37"/>
        <v>4.8412846882304494</v>
      </c>
      <c r="AI98">
        <f t="shared" si="38"/>
        <v>1.6668183412929993</v>
      </c>
      <c r="AJ98">
        <f t="shared" si="39"/>
        <v>0.65765030989726092</v>
      </c>
    </row>
    <row r="99" spans="1:36" x14ac:dyDescent="0.4">
      <c r="A99" s="24" t="s">
        <v>120</v>
      </c>
      <c r="B99" s="25" t="s">
        <v>33</v>
      </c>
      <c r="C99" s="26">
        <v>11.63</v>
      </c>
      <c r="D99" s="26" t="s">
        <v>35</v>
      </c>
      <c r="E99" s="26">
        <v>23.26</v>
      </c>
      <c r="F99" s="26" t="s">
        <v>29</v>
      </c>
      <c r="G99" s="26">
        <v>17.440000000000001</v>
      </c>
      <c r="H99" s="26">
        <v>44.77</v>
      </c>
      <c r="I99" s="19" t="s">
        <v>30</v>
      </c>
      <c r="J99" s="26">
        <v>2.91</v>
      </c>
      <c r="K99" s="26">
        <v>34.880000000000003</v>
      </c>
      <c r="L99" s="20">
        <v>108.9</v>
      </c>
      <c r="M99" s="20">
        <v>0.2321</v>
      </c>
      <c r="N99" s="20">
        <v>-4.3390000000000004</v>
      </c>
      <c r="O99" s="20">
        <v>6.03</v>
      </c>
      <c r="P99" s="2">
        <v>66923.333333333299</v>
      </c>
      <c r="Q99">
        <f t="shared" si="40"/>
        <v>4.8255775642721259</v>
      </c>
      <c r="S99">
        <f t="shared" si="31"/>
        <v>5.9312141402721261</v>
      </c>
      <c r="T99">
        <f t="shared" si="32"/>
        <v>2.0841217217343062</v>
      </c>
      <c r="U99">
        <f t="shared" si="41"/>
        <v>0.65283094686217158</v>
      </c>
      <c r="V99" s="2"/>
      <c r="W99" s="2"/>
      <c r="X99" s="2"/>
      <c r="Y99">
        <v>4.8255775642721304</v>
      </c>
      <c r="Z99">
        <v>3.8753506961317101</v>
      </c>
      <c r="AA99">
        <f t="shared" si="33"/>
        <v>0.95022686814042023</v>
      </c>
      <c r="AB99">
        <f t="shared" si="34"/>
        <v>2.5976568681404202</v>
      </c>
      <c r="AC99">
        <f t="shared" si="35"/>
        <v>0.87586464051777257</v>
      </c>
      <c r="AE99" s="60">
        <v>89243.333333333328</v>
      </c>
      <c r="AF99">
        <f t="shared" si="36"/>
        <v>4.9505757832751467</v>
      </c>
      <c r="AH99">
        <f t="shared" si="37"/>
        <v>4.6151519879979643</v>
      </c>
      <c r="AI99">
        <f t="shared" si="38"/>
        <v>1.4406856410605142</v>
      </c>
      <c r="AJ99">
        <f t="shared" si="39"/>
        <v>0.56842868525972856</v>
      </c>
    </row>
    <row r="100" spans="1:36" x14ac:dyDescent="0.4">
      <c r="A100" s="21" t="s">
        <v>121</v>
      </c>
      <c r="B100" s="22" t="s">
        <v>33</v>
      </c>
      <c r="C100" s="23">
        <v>8</v>
      </c>
      <c r="D100" s="23" t="s">
        <v>35</v>
      </c>
      <c r="E100" s="23">
        <v>17</v>
      </c>
      <c r="F100" s="23" t="s">
        <v>29</v>
      </c>
      <c r="G100" s="23">
        <v>35</v>
      </c>
      <c r="H100" s="23">
        <v>38.5</v>
      </c>
      <c r="I100" s="23" t="s">
        <v>64</v>
      </c>
      <c r="J100" s="23">
        <v>1.5</v>
      </c>
      <c r="K100" s="23">
        <v>25</v>
      </c>
      <c r="L100" s="20">
        <v>178.6</v>
      </c>
      <c r="M100" s="20">
        <v>0.12609999999999999</v>
      </c>
      <c r="N100" s="20">
        <v>-2.665</v>
      </c>
      <c r="O100" s="20">
        <v>6.09</v>
      </c>
      <c r="P100" s="2">
        <v>19043.333333333299</v>
      </c>
      <c r="Q100">
        <f t="shared" si="40"/>
        <v>4.2797429693408855</v>
      </c>
      <c r="S100">
        <f t="shared" si="31"/>
        <v>5.3853795453408857</v>
      </c>
      <c r="T100">
        <f t="shared" si="32"/>
        <v>1.5382871268030658</v>
      </c>
      <c r="U100">
        <f t="shared" si="41"/>
        <v>0.48185354581931678</v>
      </c>
      <c r="V100" s="2"/>
      <c r="W100" s="2"/>
      <c r="X100" s="2"/>
      <c r="Y100">
        <v>4.2797429693408899</v>
      </c>
      <c r="Z100">
        <v>3.8753506961317101</v>
      </c>
      <c r="AA100">
        <f t="shared" si="33"/>
        <v>0.40439227320917981</v>
      </c>
      <c r="AB100">
        <f t="shared" si="34"/>
        <v>2.0518222732091798</v>
      </c>
      <c r="AC100">
        <f t="shared" si="35"/>
        <v>0.69182292695078584</v>
      </c>
      <c r="AE100" s="60">
        <v>128066.6666666667</v>
      </c>
      <c r="AF100">
        <f t="shared" si="36"/>
        <v>5.1074361058060127</v>
      </c>
      <c r="AH100">
        <f t="shared" si="37"/>
        <v>4.7720123105288303</v>
      </c>
      <c r="AI100">
        <f t="shared" si="38"/>
        <v>1.5975459635913802</v>
      </c>
      <c r="AJ100">
        <f t="shared" si="39"/>
        <v>0.6303185968160081</v>
      </c>
    </row>
    <row r="101" spans="1:36" x14ac:dyDescent="0.4">
      <c r="A101" s="27" t="s">
        <v>122</v>
      </c>
      <c r="B101" s="28" t="s">
        <v>35</v>
      </c>
      <c r="C101" s="29">
        <v>22.11</v>
      </c>
      <c r="D101" s="29" t="s">
        <v>123</v>
      </c>
      <c r="E101" s="29">
        <v>18.09</v>
      </c>
      <c r="F101" s="29" t="s">
        <v>29</v>
      </c>
      <c r="G101" s="29">
        <v>25.13</v>
      </c>
      <c r="H101" s="29">
        <v>32.159999999999997</v>
      </c>
      <c r="I101" s="19" t="s">
        <v>30</v>
      </c>
      <c r="J101" s="29">
        <v>2.5099999999999998</v>
      </c>
      <c r="K101" s="29">
        <v>40.200000000000003</v>
      </c>
      <c r="L101" s="20">
        <v>115.9</v>
      </c>
      <c r="M101" s="20">
        <v>0.25769999999999998</v>
      </c>
      <c r="N101" s="20">
        <v>-3.8849999999999998</v>
      </c>
      <c r="O101" s="20">
        <v>6.42</v>
      </c>
      <c r="P101" s="2">
        <v>9621</v>
      </c>
      <c r="Q101">
        <f t="shared" si="40"/>
        <v>3.9832202146481031</v>
      </c>
      <c r="S101">
        <f t="shared" si="31"/>
        <v>5.0888567906481033</v>
      </c>
      <c r="T101">
        <f t="shared" si="32"/>
        <v>1.2417643721102833</v>
      </c>
      <c r="U101">
        <f t="shared" si="41"/>
        <v>0.38897066441487499</v>
      </c>
      <c r="V101" s="2"/>
      <c r="W101" s="2"/>
      <c r="X101" s="2"/>
      <c r="Y101">
        <v>3.9832202146480999</v>
      </c>
      <c r="Z101">
        <v>3.8753506961317101</v>
      </c>
      <c r="AA101">
        <f t="shared" si="33"/>
        <v>0.10786951851638982</v>
      </c>
      <c r="AB101">
        <f t="shared" si="34"/>
        <v>1.7552995185163898</v>
      </c>
      <c r="AC101">
        <f t="shared" si="35"/>
        <v>0.59184290298008302</v>
      </c>
      <c r="AE101" s="60">
        <v>98113.333333333328</v>
      </c>
      <c r="AF101">
        <f t="shared" si="36"/>
        <v>4.9917280308214504</v>
      </c>
      <c r="AH101">
        <f t="shared" si="37"/>
        <v>4.6563042355442681</v>
      </c>
      <c r="AI101">
        <f t="shared" si="38"/>
        <v>1.481837888606818</v>
      </c>
      <c r="AJ101">
        <f t="shared" si="39"/>
        <v>0.58466548064488211</v>
      </c>
    </row>
    <row r="102" spans="1:36" x14ac:dyDescent="0.4">
      <c r="A102" s="27" t="s">
        <v>124</v>
      </c>
      <c r="B102" s="28" t="s">
        <v>35</v>
      </c>
      <c r="C102" s="29">
        <v>18.09</v>
      </c>
      <c r="D102" s="29" t="s">
        <v>123</v>
      </c>
      <c r="E102" s="29">
        <v>22.11</v>
      </c>
      <c r="F102" s="29" t="s">
        <v>29</v>
      </c>
      <c r="G102" s="29">
        <v>25.13</v>
      </c>
      <c r="H102" s="29">
        <v>32.159999999999997</v>
      </c>
      <c r="I102" s="19" t="s">
        <v>30</v>
      </c>
      <c r="J102" s="29">
        <v>2.5099999999999998</v>
      </c>
      <c r="K102" s="29">
        <v>40.200000000000003</v>
      </c>
      <c r="L102" s="20">
        <v>111.6</v>
      </c>
      <c r="M102" s="20">
        <v>0.33710000000000001</v>
      </c>
      <c r="N102" s="20">
        <v>-6.7</v>
      </c>
      <c r="O102" s="20">
        <v>6.04</v>
      </c>
      <c r="P102" s="2">
        <v>6085.3333333333303</v>
      </c>
      <c r="Q102">
        <f t="shared" si="40"/>
        <v>3.7842843723544766</v>
      </c>
      <c r="S102">
        <f t="shared" si="31"/>
        <v>4.8899209483544768</v>
      </c>
      <c r="T102">
        <f t="shared" si="32"/>
        <v>1.0428285298166569</v>
      </c>
      <c r="U102">
        <f t="shared" si="41"/>
        <v>0.32665593829547201</v>
      </c>
      <c r="V102" s="2"/>
      <c r="W102" s="2"/>
      <c r="X102" s="2"/>
      <c r="Y102">
        <v>3.7842843723544801</v>
      </c>
      <c r="Z102">
        <v>3.8753506961317101</v>
      </c>
      <c r="AA102">
        <f t="shared" si="33"/>
        <v>-9.1066323777230007E-2</v>
      </c>
      <c r="AB102">
        <f t="shared" si="34"/>
        <v>1.5563636762227699</v>
      </c>
      <c r="AC102">
        <f t="shared" si="35"/>
        <v>0.5247667344015382</v>
      </c>
      <c r="AE102" s="60">
        <v>105983.3333333333</v>
      </c>
      <c r="AF102">
        <f t="shared" si="36"/>
        <v>5.02523757459997</v>
      </c>
      <c r="AH102">
        <f t="shared" si="37"/>
        <v>4.6898137793227876</v>
      </c>
      <c r="AI102">
        <f t="shared" si="38"/>
        <v>1.5153474323853375</v>
      </c>
      <c r="AJ102">
        <f t="shared" si="39"/>
        <v>0.59788681455062975</v>
      </c>
    </row>
    <row r="103" spans="1:36" x14ac:dyDescent="0.4">
      <c r="A103" s="27" t="s">
        <v>125</v>
      </c>
      <c r="B103" s="28" t="s">
        <v>35</v>
      </c>
      <c r="C103" s="29">
        <v>20.83</v>
      </c>
      <c r="D103" s="29" t="s">
        <v>123</v>
      </c>
      <c r="E103" s="29">
        <v>20.83</v>
      </c>
      <c r="F103" s="29" t="s">
        <v>29</v>
      </c>
      <c r="G103" s="29">
        <v>15.62</v>
      </c>
      <c r="H103" s="29">
        <v>40.11</v>
      </c>
      <c r="I103" s="19" t="s">
        <v>30</v>
      </c>
      <c r="J103" s="29">
        <v>2.6</v>
      </c>
      <c r="K103" s="29">
        <v>41.67</v>
      </c>
      <c r="L103" s="20">
        <v>107.2</v>
      </c>
      <c r="M103" s="20">
        <v>0.38600000000000001</v>
      </c>
      <c r="N103" s="20">
        <v>-3.0510000000000002</v>
      </c>
      <c r="O103" s="20">
        <v>5.59</v>
      </c>
      <c r="P103" s="2">
        <v>6829.6666666666697</v>
      </c>
      <c r="Q103">
        <f t="shared" si="40"/>
        <v>3.8343995077283863</v>
      </c>
      <c r="S103">
        <f t="shared" si="31"/>
        <v>4.9400360837283861</v>
      </c>
      <c r="T103">
        <f t="shared" si="32"/>
        <v>1.0929436651905662</v>
      </c>
      <c r="U103">
        <f t="shared" si="41"/>
        <v>0.34235401914031338</v>
      </c>
      <c r="V103" s="2"/>
      <c r="W103" s="2"/>
      <c r="X103" s="2"/>
      <c r="Y103">
        <v>3.8343995077283899</v>
      </c>
      <c r="Z103">
        <v>3.8753506961317101</v>
      </c>
      <c r="AA103">
        <f t="shared" si="33"/>
        <v>-4.0951188403320238E-2</v>
      </c>
      <c r="AB103">
        <f t="shared" si="34"/>
        <v>1.6064788115966797</v>
      </c>
      <c r="AC103">
        <f t="shared" si="35"/>
        <v>0.54166429911345926</v>
      </c>
      <c r="AE103" s="60">
        <v>74376.666666666672</v>
      </c>
      <c r="AF103">
        <f t="shared" si="36"/>
        <v>4.8714367107167948</v>
      </c>
      <c r="AH103">
        <f t="shared" si="37"/>
        <v>4.5360129154396125</v>
      </c>
      <c r="AI103">
        <f t="shared" si="38"/>
        <v>1.3615465685021624</v>
      </c>
      <c r="AJ103">
        <f t="shared" si="39"/>
        <v>0.53720402549710056</v>
      </c>
    </row>
    <row r="104" spans="1:36" x14ac:dyDescent="0.4">
      <c r="A104" s="21" t="s">
        <v>126</v>
      </c>
      <c r="B104" s="22" t="s">
        <v>33</v>
      </c>
      <c r="C104" s="23">
        <v>8.89</v>
      </c>
      <c r="D104" s="23" t="s">
        <v>35</v>
      </c>
      <c r="E104" s="23">
        <v>18.89</v>
      </c>
      <c r="F104" s="23" t="s">
        <v>29</v>
      </c>
      <c r="G104" s="23">
        <v>27.78</v>
      </c>
      <c r="H104" s="23">
        <v>42.78</v>
      </c>
      <c r="I104" s="23" t="s">
        <v>64</v>
      </c>
      <c r="J104" s="23">
        <v>1.67</v>
      </c>
      <c r="K104" s="23">
        <v>27.78</v>
      </c>
      <c r="L104" s="20">
        <v>151.6</v>
      </c>
      <c r="M104" s="20">
        <v>0.1096</v>
      </c>
      <c r="N104" s="20">
        <v>-2.5569999999999999</v>
      </c>
      <c r="O104" s="20">
        <v>5.94</v>
      </c>
      <c r="P104" s="2">
        <v>15823.333333333299</v>
      </c>
      <c r="Q104">
        <f t="shared" si="40"/>
        <v>4.1992979769986967</v>
      </c>
      <c r="S104">
        <f t="shared" si="31"/>
        <v>5.3049345529986969</v>
      </c>
      <c r="T104">
        <f t="shared" si="32"/>
        <v>1.457842134460877</v>
      </c>
      <c r="U104">
        <f t="shared" si="41"/>
        <v>0.45665493099111509</v>
      </c>
      <c r="V104" s="2"/>
      <c r="W104" s="2"/>
      <c r="X104" s="2"/>
      <c r="Y104">
        <v>4.1992979769987002</v>
      </c>
      <c r="Z104">
        <v>3.8753506961317101</v>
      </c>
      <c r="AA104">
        <f t="shared" si="33"/>
        <v>0.32394728086699009</v>
      </c>
      <c r="AB104">
        <f t="shared" si="34"/>
        <v>1.97137728086699</v>
      </c>
      <c r="AC104">
        <f t="shared" si="35"/>
        <v>0.66469889638177304</v>
      </c>
      <c r="AE104" s="60">
        <v>108733.3333333333</v>
      </c>
      <c r="AF104">
        <f t="shared" si="36"/>
        <v>5.0363627019845945</v>
      </c>
      <c r="AH104">
        <f t="shared" si="37"/>
        <v>4.7009389067074121</v>
      </c>
      <c r="AI104">
        <f t="shared" si="38"/>
        <v>1.526472559769962</v>
      </c>
      <c r="AJ104">
        <f t="shared" si="39"/>
        <v>0.6022762811714909</v>
      </c>
    </row>
    <row r="105" spans="1:36" x14ac:dyDescent="0.4">
      <c r="A105" s="27" t="s">
        <v>127</v>
      </c>
      <c r="B105" s="28" t="s">
        <v>35</v>
      </c>
      <c r="C105" s="29">
        <v>25</v>
      </c>
      <c r="D105" s="29" t="s">
        <v>123</v>
      </c>
      <c r="E105" s="29">
        <v>25</v>
      </c>
      <c r="F105" s="29" t="s">
        <v>29</v>
      </c>
      <c r="G105" s="29">
        <v>10</v>
      </c>
      <c r="H105" s="29">
        <v>38.5</v>
      </c>
      <c r="I105" s="19" t="s">
        <v>30</v>
      </c>
      <c r="J105" s="29">
        <v>1.5</v>
      </c>
      <c r="K105" s="29">
        <v>50</v>
      </c>
      <c r="L105" s="20">
        <v>96.97</v>
      </c>
      <c r="M105" s="20">
        <v>0.20300000000000001</v>
      </c>
      <c r="N105" s="20">
        <v>-3.597</v>
      </c>
      <c r="O105" s="20">
        <v>6.18</v>
      </c>
      <c r="P105" s="2">
        <v>17182.666666666701</v>
      </c>
      <c r="Q105">
        <f t="shared" si="40"/>
        <v>4.2350905651265727</v>
      </c>
      <c r="S105">
        <f t="shared" si="31"/>
        <v>5.3407271411265729</v>
      </c>
      <c r="T105">
        <f t="shared" si="32"/>
        <v>1.493634722588753</v>
      </c>
      <c r="U105">
        <f t="shared" si="41"/>
        <v>0.46786661260955942</v>
      </c>
      <c r="V105" s="2"/>
      <c r="W105" s="2"/>
      <c r="X105" s="2"/>
      <c r="Y105">
        <v>4.23509056512657</v>
      </c>
      <c r="Z105">
        <v>3.8753506961317101</v>
      </c>
      <c r="AA105">
        <f t="shared" si="33"/>
        <v>0.35973986899485988</v>
      </c>
      <c r="AB105">
        <f t="shared" si="34"/>
        <v>2.0071698689948598</v>
      </c>
      <c r="AC105">
        <f t="shared" si="35"/>
        <v>0.67676725795727988</v>
      </c>
      <c r="AE105" s="60">
        <v>98033.333333333328</v>
      </c>
      <c r="AF105">
        <f t="shared" si="36"/>
        <v>4.9913737697874065</v>
      </c>
      <c r="AH105">
        <f t="shared" si="37"/>
        <v>4.6559499745102242</v>
      </c>
      <c r="AI105">
        <f t="shared" si="38"/>
        <v>1.4814836275727741</v>
      </c>
      <c r="AJ105">
        <f t="shared" si="39"/>
        <v>0.58452570543779936</v>
      </c>
    </row>
    <row r="106" spans="1:36" x14ac:dyDescent="0.4">
      <c r="A106" s="30" t="s">
        <v>128</v>
      </c>
      <c r="B106" s="31" t="s">
        <v>35</v>
      </c>
      <c r="C106" s="32">
        <v>41.67</v>
      </c>
      <c r="D106" s="32"/>
      <c r="E106" s="32"/>
      <c r="F106" s="32" t="s">
        <v>29</v>
      </c>
      <c r="G106" s="32">
        <v>15.62</v>
      </c>
      <c r="H106" s="32">
        <v>40.1</v>
      </c>
      <c r="I106" s="32" t="s">
        <v>57</v>
      </c>
      <c r="J106" s="32">
        <v>2.6</v>
      </c>
      <c r="K106" s="32">
        <v>41.67</v>
      </c>
      <c r="L106" s="20">
        <v>180.3</v>
      </c>
      <c r="M106" s="20">
        <v>0.13250000000000001</v>
      </c>
      <c r="N106" s="20">
        <v>-1.3069999999999999</v>
      </c>
      <c r="O106" s="20">
        <v>6.69</v>
      </c>
      <c r="P106" s="2">
        <v>41903.333333333299</v>
      </c>
      <c r="Q106">
        <f t="shared" si="40"/>
        <v>4.622248571670176</v>
      </c>
      <c r="S106">
        <f t="shared" si="31"/>
        <v>5.7278851476701762</v>
      </c>
      <c r="T106">
        <f t="shared" si="32"/>
        <v>1.8807927291323563</v>
      </c>
      <c r="U106">
        <f t="shared" si="41"/>
        <v>0.58914010895160895</v>
      </c>
      <c r="V106" s="2"/>
      <c r="W106" s="2"/>
      <c r="X106" s="2"/>
      <c r="Y106">
        <v>4.6222485716701804</v>
      </c>
      <c r="Z106">
        <v>3.8753506961317101</v>
      </c>
      <c r="AA106">
        <f t="shared" si="33"/>
        <v>0.74689787553847031</v>
      </c>
      <c r="AB106">
        <f t="shared" si="34"/>
        <v>2.3943278755384703</v>
      </c>
      <c r="AC106">
        <f t="shared" si="35"/>
        <v>0.80730721201504818</v>
      </c>
      <c r="AE106" s="60">
        <v>22273.333333333328</v>
      </c>
      <c r="AF106">
        <f t="shared" si="36"/>
        <v>4.3477852165824498</v>
      </c>
      <c r="AH106">
        <f t="shared" si="37"/>
        <v>4.0123614213052674</v>
      </c>
      <c r="AI106">
        <f t="shared" si="38"/>
        <v>0.83789507436781729</v>
      </c>
      <c r="AJ106">
        <f t="shared" si="39"/>
        <v>0.33059508745981536</v>
      </c>
    </row>
    <row r="107" spans="1:36" x14ac:dyDescent="0.4">
      <c r="A107" s="30" t="s">
        <v>129</v>
      </c>
      <c r="B107" s="31" t="s">
        <v>35</v>
      </c>
      <c r="C107" s="32">
        <v>44</v>
      </c>
      <c r="D107" s="32"/>
      <c r="E107" s="32"/>
      <c r="F107" s="32" t="s">
        <v>29</v>
      </c>
      <c r="G107" s="32">
        <v>15</v>
      </c>
      <c r="H107" s="32">
        <v>38.5</v>
      </c>
      <c r="I107" s="32" t="s">
        <v>30</v>
      </c>
      <c r="J107" s="32">
        <v>2.5</v>
      </c>
      <c r="K107" s="32">
        <v>44</v>
      </c>
      <c r="L107" s="20">
        <v>95.45</v>
      </c>
      <c r="M107" s="20">
        <v>0.31669999999999998</v>
      </c>
      <c r="N107" s="20">
        <v>-5.6479999999999997</v>
      </c>
      <c r="O107" s="20">
        <v>6.45</v>
      </c>
      <c r="P107" s="2">
        <v>16720</v>
      </c>
      <c r="Q107">
        <f t="shared" si="40"/>
        <v>4.223236273102998</v>
      </c>
      <c r="S107">
        <f t="shared" si="31"/>
        <v>5.3288728491029982</v>
      </c>
      <c r="T107">
        <f t="shared" si="32"/>
        <v>1.4817804305651783</v>
      </c>
      <c r="U107">
        <f t="shared" si="41"/>
        <v>0.46415337042920773</v>
      </c>
      <c r="V107" s="2"/>
      <c r="W107" s="2"/>
      <c r="X107" s="2"/>
      <c r="Y107">
        <v>4.2232362731029998</v>
      </c>
      <c r="Z107">
        <v>3.8753506961317101</v>
      </c>
      <c r="AA107">
        <f t="shared" si="33"/>
        <v>0.34788557697128963</v>
      </c>
      <c r="AB107">
        <f t="shared" si="34"/>
        <v>1.9953155769712896</v>
      </c>
      <c r="AC107">
        <f t="shared" si="35"/>
        <v>0.67277028847714615</v>
      </c>
      <c r="AE107" s="60">
        <v>51313.333333333343</v>
      </c>
      <c r="AF107">
        <f t="shared" si="36"/>
        <v>4.7102302275037982</v>
      </c>
      <c r="AH107">
        <f t="shared" si="37"/>
        <v>4.3748064322266158</v>
      </c>
      <c r="AI107">
        <f t="shared" si="38"/>
        <v>1.2003400852891657</v>
      </c>
      <c r="AJ107">
        <f t="shared" si="39"/>
        <v>0.47359931764379365</v>
      </c>
    </row>
    <row r="108" spans="1:36" x14ac:dyDescent="0.4">
      <c r="A108" s="30" t="s">
        <v>130</v>
      </c>
      <c r="B108" s="31" t="s">
        <v>35</v>
      </c>
      <c r="C108" s="32">
        <v>40.200000000000003</v>
      </c>
      <c r="D108" s="32"/>
      <c r="E108" s="32"/>
      <c r="F108" s="32" t="s">
        <v>29</v>
      </c>
      <c r="G108" s="32">
        <v>25.13</v>
      </c>
      <c r="H108" s="32">
        <v>32.159999999999997</v>
      </c>
      <c r="I108" s="32" t="s">
        <v>30</v>
      </c>
      <c r="J108" s="32">
        <v>2.5099999999999998</v>
      </c>
      <c r="K108" s="32">
        <v>40.200000000000003</v>
      </c>
      <c r="L108" s="20">
        <v>97.4</v>
      </c>
      <c r="M108" s="20">
        <v>0.25750000000000001</v>
      </c>
      <c r="N108" s="20">
        <v>-4.8689999999999998</v>
      </c>
      <c r="O108" s="20">
        <v>5.97</v>
      </c>
      <c r="P108" s="2">
        <v>8455.6666666666697</v>
      </c>
      <c r="Q108">
        <f t="shared" si="40"/>
        <v>3.9271478541857618</v>
      </c>
      <c r="S108">
        <f t="shared" si="31"/>
        <v>5.032784430185762</v>
      </c>
      <c r="T108">
        <f t="shared" si="32"/>
        <v>1.1856920116479421</v>
      </c>
      <c r="U108">
        <f t="shared" si="41"/>
        <v>0.3714065405003823</v>
      </c>
      <c r="V108" s="2"/>
      <c r="W108" s="2"/>
      <c r="X108" s="2"/>
      <c r="Y108">
        <v>3.9271478541857601</v>
      </c>
      <c r="Z108">
        <v>3.8753506961317101</v>
      </c>
      <c r="AA108">
        <f t="shared" si="33"/>
        <v>5.1797158054049941E-2</v>
      </c>
      <c r="AB108">
        <f t="shared" si="34"/>
        <v>1.6992271580540499</v>
      </c>
      <c r="AC108">
        <f t="shared" si="35"/>
        <v>0.57293671161906312</v>
      </c>
      <c r="AE108" s="60">
        <v>60730</v>
      </c>
      <c r="AF108">
        <f t="shared" si="36"/>
        <v>4.7834032811225633</v>
      </c>
      <c r="AH108">
        <f t="shared" si="37"/>
        <v>4.4479794858453809</v>
      </c>
      <c r="AI108">
        <f t="shared" si="38"/>
        <v>1.2735131389079308</v>
      </c>
      <c r="AJ108">
        <f t="shared" si="39"/>
        <v>0.50247005910154596</v>
      </c>
    </row>
    <row r="109" spans="1:36" x14ac:dyDescent="0.4">
      <c r="A109" s="21" t="s">
        <v>131</v>
      </c>
      <c r="B109" s="22" t="s">
        <v>35</v>
      </c>
      <c r="C109" s="23">
        <v>50</v>
      </c>
      <c r="D109" s="23"/>
      <c r="E109" s="23"/>
      <c r="F109" s="23" t="s">
        <v>29</v>
      </c>
      <c r="G109" s="23">
        <v>10</v>
      </c>
      <c r="H109" s="23">
        <v>38.5</v>
      </c>
      <c r="I109" s="23" t="s">
        <v>64</v>
      </c>
      <c r="J109" s="23">
        <v>1.5</v>
      </c>
      <c r="K109" s="23">
        <v>50</v>
      </c>
      <c r="L109" s="20">
        <v>117.6</v>
      </c>
      <c r="M109" s="20">
        <v>0.1225</v>
      </c>
      <c r="N109" s="20">
        <v>-5.4530000000000003</v>
      </c>
      <c r="O109" s="20">
        <v>6.38</v>
      </c>
      <c r="P109" s="2">
        <v>14790</v>
      </c>
      <c r="Q109">
        <f t="shared" si="40"/>
        <v>4.1699681739968923</v>
      </c>
      <c r="S109">
        <f t="shared" si="31"/>
        <v>5.2756047499968926</v>
      </c>
      <c r="T109">
        <f t="shared" si="32"/>
        <v>1.4285123314590726</v>
      </c>
      <c r="U109">
        <f t="shared" si="41"/>
        <v>0.44746765422830909</v>
      </c>
      <c r="V109" s="2"/>
      <c r="W109" s="2"/>
      <c r="X109" s="2"/>
      <c r="Y109">
        <v>4.1699681739968897</v>
      </c>
      <c r="Z109">
        <v>3.8753506961317101</v>
      </c>
      <c r="AA109">
        <f t="shared" si="33"/>
        <v>0.29461747786517956</v>
      </c>
      <c r="AB109">
        <f t="shared" si="34"/>
        <v>1.9420474778651795</v>
      </c>
      <c r="AC109">
        <f t="shared" si="35"/>
        <v>0.65480962359994188</v>
      </c>
      <c r="AE109" s="60">
        <v>40873.333333333343</v>
      </c>
      <c r="AF109">
        <f t="shared" si="36"/>
        <v>4.6114400570715528</v>
      </c>
      <c r="AH109">
        <f t="shared" si="37"/>
        <v>4.2760162617943704</v>
      </c>
      <c r="AI109">
        <f t="shared" si="38"/>
        <v>1.1015499148569203</v>
      </c>
      <c r="AJ109">
        <f t="shared" si="39"/>
        <v>0.43462123311589557</v>
      </c>
    </row>
    <row r="110" spans="1:36" x14ac:dyDescent="0.4">
      <c r="A110" s="33" t="s">
        <v>132</v>
      </c>
      <c r="B110" s="34" t="s">
        <v>55</v>
      </c>
      <c r="C110" s="2">
        <v>30.55</v>
      </c>
      <c r="D110" s="2" t="s">
        <v>35</v>
      </c>
      <c r="E110" s="2">
        <v>16.45</v>
      </c>
      <c r="F110" s="2" t="s">
        <v>29</v>
      </c>
      <c r="G110" s="2">
        <v>25</v>
      </c>
      <c r="H110" s="2">
        <v>25.5</v>
      </c>
      <c r="I110" s="19" t="s">
        <v>30</v>
      </c>
      <c r="J110" s="2">
        <v>2.5</v>
      </c>
      <c r="K110" s="2">
        <v>47</v>
      </c>
      <c r="L110" s="20">
        <v>152.6</v>
      </c>
      <c r="M110" s="20">
        <v>0.214</v>
      </c>
      <c r="N110" s="20">
        <v>-5.0010000000000003</v>
      </c>
      <c r="O110" s="20">
        <v>6.38</v>
      </c>
      <c r="P110" s="2">
        <v>54090</v>
      </c>
      <c r="Q110">
        <f t="shared" si="40"/>
        <v>4.7331169814420644</v>
      </c>
      <c r="S110">
        <f t="shared" si="31"/>
        <v>5.8387535574420646</v>
      </c>
      <c r="T110">
        <f t="shared" si="32"/>
        <v>1.9916611389042447</v>
      </c>
      <c r="U110">
        <f t="shared" si="41"/>
        <v>0.62386856467167862</v>
      </c>
      <c r="V110" s="2"/>
      <c r="W110" s="2"/>
      <c r="X110" s="2"/>
      <c r="Y110">
        <v>4.7331169814420599</v>
      </c>
      <c r="Z110">
        <v>3.8753506961317101</v>
      </c>
      <c r="AA110">
        <f t="shared" si="33"/>
        <v>0.85776628531034982</v>
      </c>
      <c r="AB110">
        <f t="shared" si="34"/>
        <v>2.5051962853103498</v>
      </c>
      <c r="AC110">
        <f t="shared" si="35"/>
        <v>0.84468925467841938</v>
      </c>
      <c r="AE110" s="60">
        <v>72536.666666666672</v>
      </c>
      <c r="AF110">
        <f t="shared" si="36"/>
        <v>4.8605575942340078</v>
      </c>
      <c r="AH110">
        <f t="shared" si="37"/>
        <v>4.5251337989568254</v>
      </c>
      <c r="AI110">
        <f t="shared" si="38"/>
        <v>1.3506674520193753</v>
      </c>
      <c r="AJ110">
        <f t="shared" si="39"/>
        <v>0.53291162353039123</v>
      </c>
    </row>
    <row r="111" spans="1:36" x14ac:dyDescent="0.4">
      <c r="A111" s="33" t="s">
        <v>133</v>
      </c>
      <c r="B111" s="34" t="s">
        <v>33</v>
      </c>
      <c r="C111" s="2">
        <v>10.67</v>
      </c>
      <c r="D111" s="2" t="s">
        <v>35</v>
      </c>
      <c r="E111" s="2">
        <v>19.82</v>
      </c>
      <c r="F111" s="2" t="s">
        <v>29</v>
      </c>
      <c r="G111" s="2">
        <v>35</v>
      </c>
      <c r="H111" s="2">
        <v>32</v>
      </c>
      <c r="I111" s="19" t="s">
        <v>30</v>
      </c>
      <c r="J111" s="2">
        <v>2.5</v>
      </c>
      <c r="K111" s="2">
        <v>30.5</v>
      </c>
      <c r="L111" s="20">
        <v>105.7</v>
      </c>
      <c r="M111" s="20">
        <v>0.24</v>
      </c>
      <c r="N111" s="20">
        <v>-3.7240000000000002</v>
      </c>
      <c r="O111" s="20">
        <v>6.79</v>
      </c>
      <c r="P111" s="2">
        <v>53696.666666666701</v>
      </c>
      <c r="Q111">
        <f t="shared" si="40"/>
        <v>4.7299473267944352</v>
      </c>
      <c r="R111">
        <v>1.1056365763333329</v>
      </c>
      <c r="S111">
        <f t="shared" si="31"/>
        <v>5.8355839027944354</v>
      </c>
      <c r="T111">
        <f t="shared" si="32"/>
        <v>1.9884914842566155</v>
      </c>
      <c r="U111">
        <f t="shared" si="41"/>
        <v>0.6228757010479955</v>
      </c>
      <c r="V111" s="2"/>
      <c r="W111" s="2"/>
      <c r="X111" s="2"/>
      <c r="Y111">
        <v>4.7299473267944396</v>
      </c>
      <c r="Z111">
        <v>3.8753506961317101</v>
      </c>
      <c r="AA111">
        <f t="shared" si="33"/>
        <v>0.85459663066272951</v>
      </c>
      <c r="AB111">
        <f t="shared" si="34"/>
        <v>2.5020266306627295</v>
      </c>
      <c r="AC111">
        <f t="shared" si="35"/>
        <v>0.84362052675574695</v>
      </c>
      <c r="AE111" s="60">
        <v>167633.33333333331</v>
      </c>
      <c r="AF111">
        <f t="shared" si="36"/>
        <v>5.2243603809012642</v>
      </c>
      <c r="AH111">
        <f t="shared" si="37"/>
        <v>4.8889365856240818</v>
      </c>
      <c r="AI111">
        <f t="shared" si="38"/>
        <v>1.7144702386866317</v>
      </c>
      <c r="AJ111">
        <f t="shared" si="39"/>
        <v>0.67645156994567435</v>
      </c>
    </row>
    <row r="112" spans="1:36" x14ac:dyDescent="0.4">
      <c r="A112" s="33" t="s">
        <v>134</v>
      </c>
      <c r="B112" s="34" t="s">
        <v>35</v>
      </c>
      <c r="C112" s="2">
        <v>20.75</v>
      </c>
      <c r="D112" s="2" t="s">
        <v>31</v>
      </c>
      <c r="E112" s="2">
        <v>20.75</v>
      </c>
      <c r="F112" s="2" t="s">
        <v>29</v>
      </c>
      <c r="G112" s="2">
        <v>25</v>
      </c>
      <c r="H112" s="2">
        <v>32</v>
      </c>
      <c r="I112" s="35" t="s">
        <v>64</v>
      </c>
      <c r="J112" s="2">
        <v>1.5</v>
      </c>
      <c r="K112" s="2">
        <v>41.5</v>
      </c>
      <c r="L112" s="20">
        <v>106.8</v>
      </c>
      <c r="M112" s="20">
        <v>0.1711</v>
      </c>
      <c r="N112" s="20">
        <v>-4.8620000000000001</v>
      </c>
      <c r="O112" s="20">
        <v>6.46</v>
      </c>
      <c r="P112" s="2">
        <v>23843.333333333299</v>
      </c>
      <c r="Q112">
        <f t="shared" si="40"/>
        <v>4.3773669703247675</v>
      </c>
      <c r="R112" t="s">
        <v>135</v>
      </c>
      <c r="S112">
        <f t="shared" si="31"/>
        <v>5.4830035463247677</v>
      </c>
      <c r="T112">
        <f t="shared" si="32"/>
        <v>1.6359111277869478</v>
      </c>
      <c r="U112">
        <f t="shared" si="41"/>
        <v>0.51243331874435805</v>
      </c>
      <c r="V112" s="2"/>
      <c r="W112" s="2"/>
      <c r="X112" s="2"/>
      <c r="Y112">
        <v>4.3773669703247702</v>
      </c>
      <c r="Z112">
        <v>3.8753506961317101</v>
      </c>
      <c r="AA112">
        <f t="shared" si="33"/>
        <v>0.50201627419306005</v>
      </c>
      <c r="AB112">
        <f t="shared" si="34"/>
        <v>2.14944627419306</v>
      </c>
      <c r="AC112">
        <f t="shared" si="35"/>
        <v>0.72473928768201035</v>
      </c>
      <c r="AE112" s="60">
        <v>170533.33333333331</v>
      </c>
      <c r="AF112">
        <f t="shared" si="36"/>
        <v>5.2318092810869539</v>
      </c>
      <c r="AH112">
        <f t="shared" si="37"/>
        <v>4.8963854858097715</v>
      </c>
      <c r="AI112">
        <f t="shared" si="38"/>
        <v>1.7219191388723214</v>
      </c>
      <c r="AJ112">
        <f t="shared" si="39"/>
        <v>0.6793905653923602</v>
      </c>
    </row>
    <row r="113" spans="1:40" x14ac:dyDescent="0.4">
      <c r="A113" s="72" t="s">
        <v>136</v>
      </c>
      <c r="B113" s="34" t="s">
        <v>35</v>
      </c>
      <c r="C113" s="2">
        <v>11.38</v>
      </c>
      <c r="D113" s="2" t="s">
        <v>35</v>
      </c>
      <c r="E113" s="2">
        <v>21.12</v>
      </c>
      <c r="F113" s="2" t="s">
        <v>32</v>
      </c>
      <c r="G113" s="2">
        <v>25</v>
      </c>
      <c r="H113" s="2">
        <v>38.5</v>
      </c>
      <c r="I113" s="19" t="s">
        <v>30</v>
      </c>
      <c r="J113" s="2">
        <v>4</v>
      </c>
      <c r="K113" s="2">
        <v>32.5</v>
      </c>
      <c r="L113" s="20">
        <v>129.5</v>
      </c>
      <c r="M113" s="20">
        <v>0.52990000000000004</v>
      </c>
      <c r="N113" s="20">
        <v>-4.72</v>
      </c>
      <c r="O113" s="20">
        <v>6.18</v>
      </c>
      <c r="P113" s="92">
        <v>7464.3333333333303</v>
      </c>
      <c r="Q113" s="6">
        <f t="shared" si="40"/>
        <v>3.8729910253787012</v>
      </c>
      <c r="R113" t="s">
        <v>137</v>
      </c>
      <c r="S113">
        <f t="shared" si="31"/>
        <v>4.978627601378701</v>
      </c>
      <c r="T113">
        <f t="shared" si="32"/>
        <v>1.1315351828408811</v>
      </c>
      <c r="U113">
        <f t="shared" si="41"/>
        <v>0.35444243832704797</v>
      </c>
      <c r="V113" s="2"/>
      <c r="W113" s="2"/>
      <c r="X113" s="2"/>
      <c r="Y113">
        <v>3.8729910253786999</v>
      </c>
      <c r="Z113">
        <v>3.8753506961317101</v>
      </c>
      <c r="AA113">
        <f t="shared" si="33"/>
        <v>-2.3596707530102456E-3</v>
      </c>
      <c r="AB113">
        <f t="shared" si="34"/>
        <v>1.6450703292469897</v>
      </c>
      <c r="AC113">
        <f t="shared" si="35"/>
        <v>0.55467638941236819</v>
      </c>
      <c r="AE113" s="60">
        <v>55996.666666666657</v>
      </c>
      <c r="AF113">
        <f t="shared" si="36"/>
        <v>4.7481621753747811</v>
      </c>
      <c r="AG113">
        <v>6.283307204066424E-2</v>
      </c>
      <c r="AH113">
        <f t="shared" si="37"/>
        <v>4.4127383800975988</v>
      </c>
      <c r="AI113">
        <f t="shared" si="38"/>
        <v>1.2382720331601487</v>
      </c>
      <c r="AJ113">
        <f t="shared" si="39"/>
        <v>0.48856553001040787</v>
      </c>
    </row>
    <row r="114" spans="1:40" x14ac:dyDescent="0.4">
      <c r="A114" s="72" t="s">
        <v>138</v>
      </c>
      <c r="B114" s="36" t="s">
        <v>35</v>
      </c>
      <c r="C114" s="37">
        <v>25</v>
      </c>
      <c r="D114" s="37" t="s">
        <v>35</v>
      </c>
      <c r="E114" s="37">
        <v>25</v>
      </c>
      <c r="F114" s="37" t="s">
        <v>32</v>
      </c>
      <c r="G114" s="37">
        <v>10</v>
      </c>
      <c r="H114" s="37">
        <v>38.5</v>
      </c>
      <c r="I114" s="38" t="s">
        <v>30</v>
      </c>
      <c r="J114" s="37">
        <v>1.5</v>
      </c>
      <c r="K114" s="37">
        <v>50</v>
      </c>
      <c r="L114" s="39">
        <v>105</v>
      </c>
      <c r="M114" s="39">
        <v>0.34549999999999997</v>
      </c>
      <c r="N114" s="39">
        <v>-3.456</v>
      </c>
      <c r="O114" s="39">
        <v>5.98</v>
      </c>
      <c r="P114" s="92">
        <v>7505</v>
      </c>
      <c r="Q114" s="67">
        <f t="shared" si="40"/>
        <v>3.875350696579289</v>
      </c>
      <c r="R114">
        <f>0.900826491+0.072429496</f>
        <v>0.97325598700000004</v>
      </c>
      <c r="S114">
        <f t="shared" si="31"/>
        <v>4.9809872725792887</v>
      </c>
      <c r="T114">
        <f t="shared" si="32"/>
        <v>1.1338948540414688</v>
      </c>
      <c r="U114">
        <f t="shared" si="41"/>
        <v>0.35518158247976145</v>
      </c>
      <c r="V114" s="37"/>
      <c r="W114" s="37"/>
      <c r="X114" s="37"/>
      <c r="Y114">
        <v>3.8753506965792899</v>
      </c>
      <c r="Z114">
        <v>3.8753506961317101</v>
      </c>
      <c r="AA114">
        <f t="shared" si="33"/>
        <v>4.4757975103948411E-10</v>
      </c>
      <c r="AB114">
        <f t="shared" si="34"/>
        <v>1.6474300004475797</v>
      </c>
      <c r="AC114">
        <f t="shared" si="35"/>
        <v>0.55547201126419665</v>
      </c>
      <c r="AE114" s="60">
        <v>38543.333333333343</v>
      </c>
      <c r="AF114">
        <f t="shared" si="36"/>
        <v>4.5859492709232983</v>
      </c>
      <c r="AG114">
        <v>0.47171915689544153</v>
      </c>
      <c r="AH114">
        <f t="shared" si="37"/>
        <v>4.2505254756461159</v>
      </c>
      <c r="AI114">
        <f t="shared" si="38"/>
        <v>1.0760591287086658</v>
      </c>
      <c r="AJ114">
        <f t="shared" si="39"/>
        <v>0.42456373435036121</v>
      </c>
    </row>
    <row r="115" spans="1:40" x14ac:dyDescent="0.4">
      <c r="A115" s="72" t="s">
        <v>139</v>
      </c>
      <c r="B115" s="34" t="s">
        <v>34</v>
      </c>
      <c r="C115" s="2">
        <v>25</v>
      </c>
      <c r="D115" s="2" t="s">
        <v>34</v>
      </c>
      <c r="E115" s="2">
        <v>25</v>
      </c>
      <c r="F115" s="2" t="s">
        <v>32</v>
      </c>
      <c r="G115" s="2">
        <v>10</v>
      </c>
      <c r="H115" s="2">
        <v>38.5</v>
      </c>
      <c r="I115" s="19" t="s">
        <v>30</v>
      </c>
      <c r="J115" s="2">
        <v>1.5</v>
      </c>
      <c r="K115" s="2">
        <v>50</v>
      </c>
      <c r="L115" s="20">
        <v>212.3</v>
      </c>
      <c r="M115" s="20">
        <v>0.42949999999999999</v>
      </c>
      <c r="N115" s="20">
        <v>2.7629999999999999</v>
      </c>
      <c r="O115" s="20">
        <v>6.84</v>
      </c>
      <c r="P115" s="2">
        <v>13630</v>
      </c>
      <c r="Q115" s="67">
        <f t="shared" si="40"/>
        <v>4.1344958558346736</v>
      </c>
      <c r="R115" t="s">
        <v>140</v>
      </c>
      <c r="S115">
        <f t="shared" si="31"/>
        <v>5.2401324318346738</v>
      </c>
      <c r="T115">
        <f t="shared" si="32"/>
        <v>1.3930400132968539</v>
      </c>
      <c r="U115">
        <f t="shared" si="41"/>
        <v>0.43635629407513771</v>
      </c>
      <c r="V115" s="2"/>
      <c r="W115" s="2"/>
      <c r="X115" s="2"/>
      <c r="Y115">
        <v>4.1344958558346701</v>
      </c>
      <c r="Z115">
        <v>3.8753506961317101</v>
      </c>
      <c r="AA115">
        <f t="shared" si="33"/>
        <v>0.25914515970295993</v>
      </c>
      <c r="AB115">
        <f t="shared" si="34"/>
        <v>1.9065751597029599</v>
      </c>
      <c r="AC115">
        <f t="shared" si="35"/>
        <v>0.64284924901138973</v>
      </c>
      <c r="AE115" s="60">
        <v>42476.666666666657</v>
      </c>
      <c r="AF115">
        <f t="shared" si="36"/>
        <v>4.6281504283871309</v>
      </c>
      <c r="AG115">
        <f>AG114-AG121</f>
        <v>0.47171915689544153</v>
      </c>
      <c r="AH115">
        <f t="shared" si="37"/>
        <v>4.2927266331099485</v>
      </c>
      <c r="AI115">
        <f t="shared" si="38"/>
        <v>1.1182602861724984</v>
      </c>
      <c r="AJ115">
        <f t="shared" si="39"/>
        <v>0.44121438163240595</v>
      </c>
    </row>
    <row r="116" spans="1:40" x14ac:dyDescent="0.4">
      <c r="U116">
        <f t="shared" si="41"/>
        <v>0</v>
      </c>
      <c r="AG116">
        <f>(AG113+AG114+AG115)/3</f>
        <v>0.33542379527718241</v>
      </c>
    </row>
    <row r="117" spans="1:40" x14ac:dyDescent="0.4">
      <c r="B117" s="56" t="s">
        <v>141</v>
      </c>
      <c r="C117" s="56" t="s">
        <v>142</v>
      </c>
      <c r="D117" s="56" t="s">
        <v>143</v>
      </c>
      <c r="E117" s="56" t="s">
        <v>144</v>
      </c>
      <c r="F117" s="56" t="s">
        <v>4</v>
      </c>
      <c r="G117" s="56" t="s">
        <v>145</v>
      </c>
      <c r="H117" s="56" t="s">
        <v>146</v>
      </c>
      <c r="I117" s="56" t="s">
        <v>147</v>
      </c>
      <c r="J117" s="56" t="s">
        <v>148</v>
      </c>
      <c r="K117" s="56" t="s">
        <v>149</v>
      </c>
      <c r="L117" s="60" t="s">
        <v>10</v>
      </c>
      <c r="M117" s="60" t="s">
        <v>11</v>
      </c>
      <c r="N117" s="60" t="s">
        <v>12</v>
      </c>
      <c r="O117" s="60" t="s">
        <v>13</v>
      </c>
      <c r="P117" s="60" t="s">
        <v>14</v>
      </c>
      <c r="U117">
        <f t="shared" si="41"/>
        <v>0</v>
      </c>
      <c r="V117" s="60"/>
      <c r="W117" s="60"/>
      <c r="X117" s="60"/>
      <c r="AE117" s="60" t="s">
        <v>25</v>
      </c>
      <c r="AG117">
        <v>0.33542379527718202</v>
      </c>
    </row>
    <row r="118" spans="1:40" x14ac:dyDescent="0.4">
      <c r="A118" s="50" t="s">
        <v>150</v>
      </c>
      <c r="B118" s="57" t="s">
        <v>33</v>
      </c>
      <c r="C118" s="57">
        <v>24.5</v>
      </c>
      <c r="D118" s="57" t="s">
        <v>35</v>
      </c>
      <c r="E118" s="57">
        <v>10.5</v>
      </c>
      <c r="F118" s="57" t="s">
        <v>29</v>
      </c>
      <c r="G118" s="57">
        <v>33</v>
      </c>
      <c r="H118" s="57">
        <v>29.5</v>
      </c>
      <c r="I118" s="57" t="s">
        <v>30</v>
      </c>
      <c r="J118" s="57">
        <v>2.5</v>
      </c>
      <c r="K118" s="57" t="s">
        <v>151</v>
      </c>
      <c r="L118">
        <v>109.1</v>
      </c>
      <c r="M118">
        <v>0.2263</v>
      </c>
      <c r="N118" s="61">
        <v>-1.9219999999999999</v>
      </c>
      <c r="O118" s="61">
        <v>6.18</v>
      </c>
      <c r="P118">
        <v>36536.666666666657</v>
      </c>
      <c r="Q118">
        <f t="shared" ref="Q118:Q150" si="42">LOG10(P118)</f>
        <v>4.5627289230300017</v>
      </c>
      <c r="S118">
        <f t="shared" ref="S118:S147" si="43">Q118+1.371164+1.105636576</f>
        <v>7.0395294990300021</v>
      </c>
      <c r="T118">
        <f t="shared" ref="T118:T137" si="44">S118-3.84709241853782</f>
        <v>3.1924370804921822</v>
      </c>
      <c r="U118">
        <f t="shared" si="41"/>
        <v>1.0000000001541713</v>
      </c>
      <c r="AE118">
        <v>17034.666666666672</v>
      </c>
      <c r="AF118">
        <f t="shared" ref="AF118:AF137" si="45">LOG10(AE118)</f>
        <v>4.2313336397387262</v>
      </c>
      <c r="AH118">
        <f t="shared" ref="AH118:AH137" si="46">AF118-0.006423795</f>
        <v>4.2249098447387263</v>
      </c>
      <c r="AI118">
        <f t="shared" ref="AI118:AI137" si="47">AH118-3.17446634693745</f>
        <v>1.0504434978012762</v>
      </c>
      <c r="AJ118">
        <f t="shared" ref="AJ118:AJ137" si="48">AI118/2.53450552095595</f>
        <v>0.41445697755082261</v>
      </c>
    </row>
    <row r="119" spans="1:40" x14ac:dyDescent="0.4">
      <c r="A119" s="50" t="s">
        <v>152</v>
      </c>
      <c r="B119" s="57" t="s">
        <v>33</v>
      </c>
      <c r="C119" s="57">
        <v>21</v>
      </c>
      <c r="D119" s="57" t="s">
        <v>35</v>
      </c>
      <c r="E119" s="57">
        <v>14</v>
      </c>
      <c r="F119" s="57" t="s">
        <v>29</v>
      </c>
      <c r="G119" s="57">
        <v>33</v>
      </c>
      <c r="H119" s="57">
        <v>29.5</v>
      </c>
      <c r="I119" s="57" t="s">
        <v>30</v>
      </c>
      <c r="J119" s="57">
        <v>2.5</v>
      </c>
      <c r="K119" s="57" t="s">
        <v>153</v>
      </c>
      <c r="L119">
        <v>266.8</v>
      </c>
      <c r="M119">
        <v>0.3024</v>
      </c>
      <c r="N119" s="61">
        <v>-2.1970000000000001</v>
      </c>
      <c r="O119" s="61">
        <v>3</v>
      </c>
      <c r="P119">
        <v>6276</v>
      </c>
      <c r="Q119">
        <f t="shared" si="42"/>
        <v>3.7976829349148993</v>
      </c>
      <c r="S119">
        <f t="shared" si="43"/>
        <v>6.2744835109148998</v>
      </c>
      <c r="T119">
        <f t="shared" si="44"/>
        <v>2.4273910923770798</v>
      </c>
      <c r="U119">
        <f t="shared" si="41"/>
        <v>0.76035675302239003</v>
      </c>
      <c r="AE119">
        <v>1786</v>
      </c>
      <c r="AF119">
        <f t="shared" si="45"/>
        <v>3.2518814545525276</v>
      </c>
      <c r="AH119" s="96">
        <f t="shared" si="46"/>
        <v>3.2454576595525277</v>
      </c>
      <c r="AI119">
        <f t="shared" si="47"/>
        <v>7.0991312615077629E-2</v>
      </c>
      <c r="AJ119">
        <f t="shared" si="48"/>
        <v>2.800992620773678E-2</v>
      </c>
    </row>
    <row r="120" spans="1:40" x14ac:dyDescent="0.4">
      <c r="A120" s="50" t="s">
        <v>154</v>
      </c>
      <c r="B120" s="57" t="s">
        <v>33</v>
      </c>
      <c r="C120" s="57">
        <v>17.5</v>
      </c>
      <c r="D120" s="57" t="s">
        <v>35</v>
      </c>
      <c r="E120" s="57">
        <v>17.5</v>
      </c>
      <c r="F120" s="57" t="s">
        <v>29</v>
      </c>
      <c r="G120" s="57">
        <v>33</v>
      </c>
      <c r="H120" s="57">
        <v>29.5</v>
      </c>
      <c r="I120" s="57" t="s">
        <v>30</v>
      </c>
      <c r="J120" s="57">
        <v>2.5</v>
      </c>
      <c r="K120" s="57" t="s">
        <v>155</v>
      </c>
      <c r="L120">
        <v>138.6</v>
      </c>
      <c r="M120">
        <v>0.25569999999999998</v>
      </c>
      <c r="N120" s="61">
        <v>-4.2750000000000004</v>
      </c>
      <c r="O120" s="61">
        <v>5.68</v>
      </c>
      <c r="P120">
        <v>13967.33333333333</v>
      </c>
      <c r="Q120">
        <f t="shared" si="42"/>
        <v>4.1451134977987669</v>
      </c>
      <c r="S120">
        <f t="shared" si="43"/>
        <v>6.6219140737987674</v>
      </c>
      <c r="T120">
        <f t="shared" si="44"/>
        <v>2.7748216552609475</v>
      </c>
      <c r="U120">
        <f t="shared" si="41"/>
        <v>0.86918601235547222</v>
      </c>
      <c r="AE120">
        <v>21306.666666666672</v>
      </c>
      <c r="AF120">
        <f t="shared" si="45"/>
        <v>4.3285155115862723</v>
      </c>
      <c r="AH120">
        <f t="shared" si="46"/>
        <v>4.3220917165862724</v>
      </c>
      <c r="AI120">
        <f t="shared" si="47"/>
        <v>1.1476253696488223</v>
      </c>
      <c r="AJ120">
        <f t="shared" si="48"/>
        <v>0.45280050098922947</v>
      </c>
    </row>
    <row r="121" spans="1:40" ht="14.25" customHeight="1" x14ac:dyDescent="0.4">
      <c r="A121" s="50" t="s">
        <v>156</v>
      </c>
      <c r="B121" s="57" t="s">
        <v>33</v>
      </c>
      <c r="C121" s="57">
        <v>14</v>
      </c>
      <c r="D121" s="57" t="s">
        <v>35</v>
      </c>
      <c r="E121" s="57">
        <v>21</v>
      </c>
      <c r="F121" s="57" t="s">
        <v>29</v>
      </c>
      <c r="G121" s="57">
        <v>33</v>
      </c>
      <c r="H121" s="57">
        <v>29.5</v>
      </c>
      <c r="I121" s="57" t="s">
        <v>30</v>
      </c>
      <c r="J121" s="57">
        <v>2.5</v>
      </c>
      <c r="K121" s="57" t="s">
        <v>157</v>
      </c>
      <c r="L121" s="62">
        <v>98.58</v>
      </c>
      <c r="M121">
        <v>0.26619999999999999</v>
      </c>
      <c r="N121" s="61">
        <v>-4.0819999999999999</v>
      </c>
      <c r="O121" s="61">
        <v>5.89</v>
      </c>
      <c r="P121">
        <v>6820.666666666667</v>
      </c>
      <c r="Q121">
        <f t="shared" si="42"/>
        <v>3.8338268256102199</v>
      </c>
      <c r="S121">
        <f t="shared" si="43"/>
        <v>6.31062740161022</v>
      </c>
      <c r="T121">
        <f t="shared" si="44"/>
        <v>2.4635349830724</v>
      </c>
      <c r="U121">
        <f t="shared" si="41"/>
        <v>0.77167847676809975</v>
      </c>
      <c r="AE121">
        <v>34076.666666666657</v>
      </c>
      <c r="AF121">
        <f t="shared" si="45"/>
        <v>4.5324571060748795</v>
      </c>
      <c r="AH121">
        <f t="shared" si="46"/>
        <v>4.5260333110748796</v>
      </c>
      <c r="AI121">
        <f t="shared" si="47"/>
        <v>1.3515669641374295</v>
      </c>
      <c r="AJ121">
        <f t="shared" si="48"/>
        <v>0.53326652988613465</v>
      </c>
    </row>
    <row r="122" spans="1:40" ht="14.25" customHeight="1" x14ac:dyDescent="0.4">
      <c r="A122" s="50" t="s">
        <v>158</v>
      </c>
      <c r="B122" s="57" t="s">
        <v>33</v>
      </c>
      <c r="C122" s="57">
        <v>10.5</v>
      </c>
      <c r="D122" s="57" t="s">
        <v>35</v>
      </c>
      <c r="E122" s="57">
        <v>24.5</v>
      </c>
      <c r="F122" s="57" t="s">
        <v>29</v>
      </c>
      <c r="G122" s="57">
        <v>33</v>
      </c>
      <c r="H122" s="57">
        <v>29.5</v>
      </c>
      <c r="I122" s="57" t="s">
        <v>30</v>
      </c>
      <c r="J122" s="57">
        <v>2.5</v>
      </c>
      <c r="K122" s="57" t="s">
        <v>159</v>
      </c>
      <c r="L122" s="62">
        <v>135.30000000000001</v>
      </c>
      <c r="M122">
        <v>0.39250000000000002</v>
      </c>
      <c r="N122" s="61">
        <v>-6.4960000000000004</v>
      </c>
      <c r="O122" s="61">
        <v>5.99</v>
      </c>
      <c r="P122">
        <v>5823.333333333333</v>
      </c>
      <c r="Q122">
        <f t="shared" si="42"/>
        <v>3.7651716502632686</v>
      </c>
      <c r="S122">
        <f t="shared" si="43"/>
        <v>6.2419722262632691</v>
      </c>
      <c r="T122">
        <f t="shared" si="44"/>
        <v>2.3948798077254492</v>
      </c>
      <c r="U122">
        <f t="shared" si="41"/>
        <v>0.75017290794199432</v>
      </c>
      <c r="AE122">
        <v>70063.333333333328</v>
      </c>
      <c r="AF122">
        <f t="shared" si="45"/>
        <v>4.845490795468625</v>
      </c>
      <c r="AH122">
        <f t="shared" si="46"/>
        <v>4.8390670004686251</v>
      </c>
      <c r="AI122">
        <f t="shared" si="47"/>
        <v>1.664600653531175</v>
      </c>
      <c r="AJ122">
        <f t="shared" si="48"/>
        <v>0.65677531169998427</v>
      </c>
    </row>
    <row r="123" spans="1:40" ht="14.25" customHeight="1" x14ac:dyDescent="0.4">
      <c r="A123" s="50" t="s">
        <v>160</v>
      </c>
      <c r="B123" s="57" t="s">
        <v>33</v>
      </c>
      <c r="C123" s="57">
        <v>12.25</v>
      </c>
      <c r="D123" s="57" t="s">
        <v>35</v>
      </c>
      <c r="E123" s="57">
        <v>22.75</v>
      </c>
      <c r="F123" s="57" t="s">
        <v>29</v>
      </c>
      <c r="G123" s="57">
        <v>10</v>
      </c>
      <c r="H123" s="57">
        <v>52.5</v>
      </c>
      <c r="I123" s="57" t="s">
        <v>30</v>
      </c>
      <c r="J123" s="57">
        <v>2.5</v>
      </c>
      <c r="K123" s="57" t="s">
        <v>161</v>
      </c>
      <c r="L123" s="62">
        <v>1098</v>
      </c>
      <c r="M123">
        <v>1</v>
      </c>
      <c r="N123" s="61">
        <v>-0.29380000000000001</v>
      </c>
      <c r="O123" s="61">
        <v>6.66</v>
      </c>
      <c r="P123">
        <v>5353.666666666667</v>
      </c>
      <c r="Q123">
        <f t="shared" si="42"/>
        <v>3.7286513273787572</v>
      </c>
      <c r="S123">
        <f t="shared" si="43"/>
        <v>6.2054519033787576</v>
      </c>
      <c r="T123">
        <f t="shared" si="44"/>
        <v>2.3583594848409377</v>
      </c>
      <c r="U123">
        <f t="shared" si="41"/>
        <v>0.73873327045836024</v>
      </c>
      <c r="AA123" s="40"/>
      <c r="AB123" s="40"/>
      <c r="AC123" s="40"/>
      <c r="AD123" s="40"/>
      <c r="AE123">
        <v>9723.3333333333339</v>
      </c>
      <c r="AF123">
        <f t="shared" si="45"/>
        <v>3.9878151744020705</v>
      </c>
      <c r="AG123" s="40"/>
      <c r="AH123">
        <f t="shared" si="46"/>
        <v>3.9813913794020706</v>
      </c>
      <c r="AI123">
        <f t="shared" si="47"/>
        <v>0.80692503246462044</v>
      </c>
      <c r="AJ123">
        <f t="shared" si="48"/>
        <v>0.31837572488706561</v>
      </c>
      <c r="AL123" s="40"/>
      <c r="AM123" s="40"/>
      <c r="AN123" s="40"/>
    </row>
    <row r="124" spans="1:40" ht="14.25" customHeight="1" x14ac:dyDescent="0.4">
      <c r="A124" s="51" t="s">
        <v>162</v>
      </c>
      <c r="B124" s="57" t="s">
        <v>33</v>
      </c>
      <c r="C124" s="57">
        <v>12.25</v>
      </c>
      <c r="D124" s="57" t="s">
        <v>35</v>
      </c>
      <c r="E124" s="57">
        <v>22.75</v>
      </c>
      <c r="F124" s="57" t="s">
        <v>29</v>
      </c>
      <c r="G124" s="57">
        <v>15</v>
      </c>
      <c r="H124" s="57">
        <v>47.5</v>
      </c>
      <c r="I124" s="57" t="s">
        <v>30</v>
      </c>
      <c r="J124" s="57">
        <v>2.5</v>
      </c>
      <c r="K124" s="57" t="s">
        <v>161</v>
      </c>
      <c r="L124" s="62">
        <v>134.6</v>
      </c>
      <c r="M124">
        <v>0.19470000000000001</v>
      </c>
      <c r="N124" s="61">
        <v>-3.69</v>
      </c>
      <c r="O124" s="61">
        <v>6.12</v>
      </c>
      <c r="P124">
        <v>6277</v>
      </c>
      <c r="Q124">
        <f t="shared" si="42"/>
        <v>3.7977521286507105</v>
      </c>
      <c r="S124">
        <f t="shared" si="43"/>
        <v>6.274552704650711</v>
      </c>
      <c r="T124">
        <f t="shared" si="44"/>
        <v>2.4274602861128911</v>
      </c>
      <c r="U124">
        <f t="shared" si="41"/>
        <v>0.76037842729006622</v>
      </c>
      <c r="AA124" s="40"/>
      <c r="AE124">
        <v>14554.66666666667</v>
      </c>
      <c r="AF124">
        <f t="shared" si="45"/>
        <v>4.1630022636061588</v>
      </c>
      <c r="AH124">
        <f t="shared" si="46"/>
        <v>4.1565784686061589</v>
      </c>
      <c r="AI124">
        <f t="shared" si="47"/>
        <v>0.98211212166870876</v>
      </c>
      <c r="AJ124">
        <f t="shared" si="48"/>
        <v>0.38749654066576322</v>
      </c>
    </row>
    <row r="125" spans="1:40" ht="14.25" customHeight="1" x14ac:dyDescent="0.4">
      <c r="A125" s="51" t="s">
        <v>163</v>
      </c>
      <c r="B125" s="57" t="s">
        <v>33</v>
      </c>
      <c r="C125" s="57">
        <v>12.25</v>
      </c>
      <c r="D125" s="57" t="s">
        <v>35</v>
      </c>
      <c r="E125" s="57">
        <v>22.75</v>
      </c>
      <c r="F125" s="57" t="s">
        <v>29</v>
      </c>
      <c r="G125" s="57">
        <v>20</v>
      </c>
      <c r="H125" s="57">
        <v>42.5</v>
      </c>
      <c r="I125" s="57" t="s">
        <v>30</v>
      </c>
      <c r="J125" s="57">
        <v>2.5</v>
      </c>
      <c r="K125" s="57" t="s">
        <v>161</v>
      </c>
      <c r="L125" s="62">
        <v>127.4</v>
      </c>
      <c r="M125">
        <v>0.24030000000000001</v>
      </c>
      <c r="N125" s="61">
        <v>-4.423</v>
      </c>
      <c r="O125" s="61">
        <v>6.7</v>
      </c>
      <c r="P125">
        <v>4770.666666666667</v>
      </c>
      <c r="Q125">
        <f t="shared" si="42"/>
        <v>3.6785790728396544</v>
      </c>
      <c r="S125">
        <f t="shared" si="43"/>
        <v>6.1553796488396548</v>
      </c>
      <c r="T125">
        <f t="shared" si="44"/>
        <v>2.3082872303018349</v>
      </c>
      <c r="U125">
        <f t="shared" si="41"/>
        <v>0.72304862161976735</v>
      </c>
      <c r="AA125" s="40"/>
      <c r="AE125">
        <v>23316.666666666672</v>
      </c>
      <c r="AF125">
        <f t="shared" si="45"/>
        <v>4.3676664641081837</v>
      </c>
      <c r="AH125">
        <f t="shared" si="46"/>
        <v>4.3612426691081838</v>
      </c>
      <c r="AI125">
        <f t="shared" si="47"/>
        <v>1.1867763221707337</v>
      </c>
      <c r="AJ125">
        <f t="shared" si="48"/>
        <v>0.4682476768577376</v>
      </c>
    </row>
    <row r="126" spans="1:40" ht="14.25" customHeight="1" x14ac:dyDescent="0.4">
      <c r="A126" s="52" t="s">
        <v>164</v>
      </c>
      <c r="B126" s="57" t="s">
        <v>33</v>
      </c>
      <c r="C126" s="57">
        <v>12.25</v>
      </c>
      <c r="D126" s="57" t="s">
        <v>35</v>
      </c>
      <c r="E126" s="57">
        <v>22.75</v>
      </c>
      <c r="F126" s="57" t="s">
        <v>29</v>
      </c>
      <c r="G126" s="57">
        <v>40</v>
      </c>
      <c r="H126" s="57">
        <v>22.5</v>
      </c>
      <c r="I126" s="57" t="s">
        <v>30</v>
      </c>
      <c r="J126" s="57">
        <v>2.5</v>
      </c>
      <c r="K126" s="57" t="s">
        <v>161</v>
      </c>
      <c r="L126" s="62">
        <v>129.5</v>
      </c>
      <c r="M126">
        <v>0.35709999999999997</v>
      </c>
      <c r="N126" s="61">
        <v>-7.7729999999999997</v>
      </c>
      <c r="O126" s="61"/>
      <c r="P126">
        <v>9551.3333333333339</v>
      </c>
      <c r="Q126">
        <f t="shared" si="42"/>
        <v>3.9800640018340059</v>
      </c>
      <c r="S126">
        <f t="shared" si="43"/>
        <v>6.4568645778340059</v>
      </c>
      <c r="T126">
        <f t="shared" si="44"/>
        <v>2.609772159296186</v>
      </c>
      <c r="U126">
        <f t="shared" si="41"/>
        <v>0.81748585607086921</v>
      </c>
      <c r="AA126" s="40"/>
      <c r="AE126">
        <v>50630</v>
      </c>
      <c r="AF126">
        <f t="shared" si="45"/>
        <v>4.7044079273868409</v>
      </c>
      <c r="AH126">
        <f t="shared" si="46"/>
        <v>4.697984132386841</v>
      </c>
      <c r="AI126">
        <f t="shared" si="47"/>
        <v>1.5235177854493909</v>
      </c>
      <c r="AJ126">
        <f t="shared" si="48"/>
        <v>0.60111046231801435</v>
      </c>
    </row>
    <row r="127" spans="1:40" ht="14.25" customHeight="1" x14ac:dyDescent="0.4">
      <c r="A127" s="52" t="s">
        <v>165</v>
      </c>
      <c r="B127" s="57" t="s">
        <v>33</v>
      </c>
      <c r="C127" s="57">
        <v>12.25</v>
      </c>
      <c r="D127" s="57" t="s">
        <v>35</v>
      </c>
      <c r="E127" s="57">
        <v>22.75</v>
      </c>
      <c r="F127" s="57" t="s">
        <v>29</v>
      </c>
      <c r="G127" s="57">
        <v>17.5</v>
      </c>
      <c r="H127" s="57">
        <v>45</v>
      </c>
      <c r="I127" s="57" t="s">
        <v>30</v>
      </c>
      <c r="J127" s="57">
        <v>2.5</v>
      </c>
      <c r="K127" s="57" t="s">
        <v>161</v>
      </c>
      <c r="L127" s="62">
        <v>125</v>
      </c>
      <c r="M127">
        <v>0.28520000000000001</v>
      </c>
      <c r="N127" s="61">
        <v>-10.6</v>
      </c>
      <c r="O127" s="61"/>
      <c r="P127">
        <v>7901.333333333333</v>
      </c>
      <c r="Q127">
        <f t="shared" si="42"/>
        <v>3.8977003837523321</v>
      </c>
      <c r="S127">
        <f t="shared" si="43"/>
        <v>6.3745009597523321</v>
      </c>
      <c r="T127">
        <f t="shared" si="44"/>
        <v>2.5274085412145122</v>
      </c>
      <c r="U127">
        <f t="shared" si="41"/>
        <v>0.79168625030959494</v>
      </c>
      <c r="AA127" s="40"/>
      <c r="AE127">
        <v>17027</v>
      </c>
      <c r="AF127">
        <f t="shared" si="45"/>
        <v>4.2311381360297196</v>
      </c>
      <c r="AH127">
        <f t="shared" si="46"/>
        <v>4.2247143410297197</v>
      </c>
      <c r="AI127">
        <f t="shared" si="47"/>
        <v>1.0502479940922695</v>
      </c>
      <c r="AJ127">
        <f t="shared" si="48"/>
        <v>0.41437984072575351</v>
      </c>
    </row>
    <row r="128" spans="1:40" ht="14.25" customHeight="1" x14ac:dyDescent="0.4">
      <c r="A128" s="52" t="s">
        <v>166</v>
      </c>
      <c r="B128" s="57" t="s">
        <v>33</v>
      </c>
      <c r="C128" s="57">
        <v>12.25</v>
      </c>
      <c r="D128" s="57" t="s">
        <v>35</v>
      </c>
      <c r="E128" s="57">
        <v>22.75</v>
      </c>
      <c r="F128" s="57" t="s">
        <v>29</v>
      </c>
      <c r="G128" s="57">
        <v>24</v>
      </c>
      <c r="H128" s="57">
        <v>38.5</v>
      </c>
      <c r="I128" s="57" t="s">
        <v>30</v>
      </c>
      <c r="J128" s="57">
        <v>2.5</v>
      </c>
      <c r="K128" s="57" t="s">
        <v>161</v>
      </c>
      <c r="L128" s="62">
        <v>328.4</v>
      </c>
      <c r="M128">
        <v>0.34449999999999997</v>
      </c>
      <c r="N128" s="61">
        <v>-0.73199999999999998</v>
      </c>
      <c r="O128" s="61"/>
      <c r="P128">
        <v>7986.333333333333</v>
      </c>
      <c r="Q128">
        <f t="shared" si="42"/>
        <v>3.902347432806248</v>
      </c>
      <c r="S128">
        <f t="shared" si="43"/>
        <v>6.379148008806248</v>
      </c>
      <c r="T128">
        <f t="shared" si="44"/>
        <v>2.5320555902684281</v>
      </c>
      <c r="U128">
        <f t="shared" si="41"/>
        <v>0.79314189342407593</v>
      </c>
      <c r="AA128" s="40"/>
      <c r="AE128">
        <v>3449.666666666667</v>
      </c>
      <c r="AF128">
        <f t="shared" si="45"/>
        <v>3.5377771322265432</v>
      </c>
      <c r="AH128">
        <f t="shared" si="46"/>
        <v>3.5313533372265433</v>
      </c>
      <c r="AI128">
        <f t="shared" si="47"/>
        <v>0.35688699028909321</v>
      </c>
      <c r="AJ128">
        <f t="shared" si="48"/>
        <v>0.14081128935733572</v>
      </c>
    </row>
    <row r="129" spans="1:36" ht="14.25" customHeight="1" x14ac:dyDescent="0.4">
      <c r="A129" s="52" t="s">
        <v>167</v>
      </c>
      <c r="B129" s="57" t="s">
        <v>168</v>
      </c>
      <c r="C129" s="57">
        <v>15.75</v>
      </c>
      <c r="D129" s="57" t="s">
        <v>35</v>
      </c>
      <c r="E129" s="57">
        <v>19.25</v>
      </c>
      <c r="F129" s="57" t="s">
        <v>29</v>
      </c>
      <c r="G129" s="57">
        <v>33</v>
      </c>
      <c r="H129" s="57">
        <v>29.5</v>
      </c>
      <c r="I129" s="57" t="s">
        <v>30</v>
      </c>
      <c r="J129" s="57">
        <v>2.5</v>
      </c>
      <c r="K129" s="57" t="s">
        <v>169</v>
      </c>
      <c r="L129" s="62">
        <v>147.80000000000001</v>
      </c>
      <c r="M129">
        <v>0.2293</v>
      </c>
      <c r="N129" s="61">
        <v>-1.825</v>
      </c>
      <c r="O129" s="61"/>
      <c r="P129">
        <v>3122.666666666667</v>
      </c>
      <c r="Q129">
        <f t="shared" si="42"/>
        <v>3.4945256273446441</v>
      </c>
      <c r="S129">
        <f t="shared" si="43"/>
        <v>5.9713262033446446</v>
      </c>
      <c r="T129">
        <f t="shared" si="44"/>
        <v>2.1242337848068247</v>
      </c>
      <c r="U129">
        <f t="shared" si="41"/>
        <v>0.66539566217756896</v>
      </c>
      <c r="AA129" s="40"/>
      <c r="AE129">
        <v>54670</v>
      </c>
      <c r="AF129">
        <f t="shared" si="45"/>
        <v>4.7377490738915569</v>
      </c>
      <c r="AH129">
        <f t="shared" si="46"/>
        <v>4.731325278891557</v>
      </c>
      <c r="AI129">
        <f t="shared" si="47"/>
        <v>1.5568589319541069</v>
      </c>
      <c r="AJ129">
        <f t="shared" si="48"/>
        <v>0.61426535435870733</v>
      </c>
    </row>
    <row r="130" spans="1:36" ht="14.25" customHeight="1" x14ac:dyDescent="0.4">
      <c r="A130" s="52" t="s">
        <v>170</v>
      </c>
      <c r="B130" s="58" t="s">
        <v>33</v>
      </c>
      <c r="C130" s="58">
        <v>18.77</v>
      </c>
      <c r="D130" s="58" t="s">
        <v>35</v>
      </c>
      <c r="E130" s="58">
        <v>38.86</v>
      </c>
      <c r="F130" s="58" t="s">
        <v>29</v>
      </c>
      <c r="G130" s="58">
        <v>7.1</v>
      </c>
      <c r="H130" s="58">
        <v>31.32</v>
      </c>
      <c r="I130" s="58" t="s">
        <v>30</v>
      </c>
      <c r="J130" s="58">
        <v>3.94</v>
      </c>
      <c r="K130" s="58" t="s">
        <v>171</v>
      </c>
      <c r="L130" s="62">
        <v>1.25</v>
      </c>
      <c r="M130">
        <v>0.49509999999999998</v>
      </c>
      <c r="N130" s="61">
        <v>-0.26740000000000003</v>
      </c>
      <c r="O130" s="61"/>
      <c r="P130">
        <v>10525.33333333333</v>
      </c>
      <c r="Q130">
        <f t="shared" si="42"/>
        <v>4.0222358586677966</v>
      </c>
      <c r="S130">
        <f t="shared" si="43"/>
        <v>6.4990364346677971</v>
      </c>
      <c r="T130">
        <f t="shared" si="44"/>
        <v>2.6519440161299772</v>
      </c>
      <c r="U130">
        <f t="shared" ref="U130:U146" si="49">T130/3.19243708</f>
        <v>0.83069578183510429</v>
      </c>
      <c r="AE130">
        <v>18456.666666666672</v>
      </c>
      <c r="AF130">
        <f t="shared" si="45"/>
        <v>4.2661532687922712</v>
      </c>
      <c r="AH130">
        <f t="shared" si="46"/>
        <v>4.2597294737922713</v>
      </c>
      <c r="AI130">
        <f t="shared" si="47"/>
        <v>1.0852631268548212</v>
      </c>
      <c r="AJ130">
        <f t="shared" si="48"/>
        <v>0.42819521120849163</v>
      </c>
    </row>
    <row r="131" spans="1:36" ht="14.25" customHeight="1" x14ac:dyDescent="0.4">
      <c r="A131" s="51" t="s">
        <v>172</v>
      </c>
      <c r="B131" s="58" t="s">
        <v>168</v>
      </c>
      <c r="C131" s="58">
        <v>20.69</v>
      </c>
      <c r="D131" s="58" t="s">
        <v>35</v>
      </c>
      <c r="E131" s="58">
        <v>8.89</v>
      </c>
      <c r="F131" s="58" t="s">
        <v>32</v>
      </c>
      <c r="G131" s="58">
        <v>8.44</v>
      </c>
      <c r="H131" s="58">
        <v>58.07</v>
      </c>
      <c r="I131" s="58" t="s">
        <v>64</v>
      </c>
      <c r="J131" s="58">
        <v>3.9</v>
      </c>
      <c r="K131" s="58" t="s">
        <v>151</v>
      </c>
      <c r="L131" s="62">
        <v>110.1</v>
      </c>
      <c r="M131">
        <v>0.20430000000000001</v>
      </c>
      <c r="N131" s="61">
        <v>-4.5609999999999999</v>
      </c>
      <c r="O131" s="61"/>
      <c r="P131">
        <v>1874</v>
      </c>
      <c r="Q131">
        <f t="shared" si="42"/>
        <v>3.2727695865517594</v>
      </c>
      <c r="S131">
        <f t="shared" si="43"/>
        <v>5.7495701625517599</v>
      </c>
      <c r="T131">
        <f t="shared" si="44"/>
        <v>1.90247774401394</v>
      </c>
      <c r="U131">
        <f t="shared" si="49"/>
        <v>0.59593272986728374</v>
      </c>
      <c r="AE131">
        <v>4349.333333333333</v>
      </c>
      <c r="AF131">
        <f t="shared" si="45"/>
        <v>3.638422693312557</v>
      </c>
      <c r="AH131">
        <f t="shared" si="46"/>
        <v>3.6319988983125571</v>
      </c>
      <c r="AI131">
        <f t="shared" si="47"/>
        <v>0.45753255137510696</v>
      </c>
      <c r="AJ131">
        <f t="shared" si="48"/>
        <v>0.18052142620803505</v>
      </c>
    </row>
    <row r="132" spans="1:36" ht="14.25" customHeight="1" x14ac:dyDescent="0.4">
      <c r="A132" s="53" t="s">
        <v>173</v>
      </c>
      <c r="B132" s="58" t="s">
        <v>33</v>
      </c>
      <c r="C132" s="58">
        <v>18.579999999999998</v>
      </c>
      <c r="D132" s="58" t="s">
        <v>34</v>
      </c>
      <c r="E132" s="58">
        <v>40.67</v>
      </c>
      <c r="F132" s="58" t="s">
        <v>29</v>
      </c>
      <c r="G132" s="58">
        <v>30.8</v>
      </c>
      <c r="H132" s="58">
        <v>8.77</v>
      </c>
      <c r="I132" s="58" t="s">
        <v>57</v>
      </c>
      <c r="J132" s="58">
        <v>1.17</v>
      </c>
      <c r="K132" s="58" t="s">
        <v>174</v>
      </c>
      <c r="L132" s="62">
        <v>1033</v>
      </c>
      <c r="M132">
        <v>0.56330000000000002</v>
      </c>
      <c r="N132" s="61">
        <v>-2.3050000000000002</v>
      </c>
      <c r="O132" s="61"/>
      <c r="P132">
        <v>1512</v>
      </c>
      <c r="Q132">
        <f t="shared" si="42"/>
        <v>3.1795517911651876</v>
      </c>
      <c r="S132">
        <f t="shared" si="43"/>
        <v>5.6563523671651881</v>
      </c>
      <c r="T132">
        <f t="shared" si="44"/>
        <v>1.8092599486273682</v>
      </c>
      <c r="U132">
        <f t="shared" si="49"/>
        <v>0.56673315817625081</v>
      </c>
      <c r="AE132">
        <v>5022.666666666667</v>
      </c>
      <c r="AF132">
        <f t="shared" si="45"/>
        <v>3.7009343568115676</v>
      </c>
      <c r="AH132">
        <f t="shared" si="46"/>
        <v>3.6945105618115677</v>
      </c>
      <c r="AI132">
        <f t="shared" si="47"/>
        <v>0.52004421487411756</v>
      </c>
      <c r="AJ132">
        <f t="shared" si="48"/>
        <v>0.20518567056739742</v>
      </c>
    </row>
    <row r="133" spans="1:36" ht="14.25" customHeight="1" x14ac:dyDescent="0.4">
      <c r="A133" s="53" t="s">
        <v>175</v>
      </c>
      <c r="B133" s="58" t="s">
        <v>35</v>
      </c>
      <c r="C133" s="58">
        <v>40.380000000000003</v>
      </c>
      <c r="D133" s="58" t="s">
        <v>35</v>
      </c>
      <c r="E133" s="58">
        <v>18.18</v>
      </c>
      <c r="F133" s="58" t="s">
        <v>32</v>
      </c>
      <c r="G133" s="58">
        <v>18.489999999999998</v>
      </c>
      <c r="H133" s="58">
        <v>19.7</v>
      </c>
      <c r="I133" s="58" t="s">
        <v>30</v>
      </c>
      <c r="J133" s="58">
        <v>3.25</v>
      </c>
      <c r="K133" s="58" t="s">
        <v>176</v>
      </c>
      <c r="L133" s="62">
        <v>112.3</v>
      </c>
      <c r="M133">
        <v>0.42470000000000002</v>
      </c>
      <c r="N133" s="61">
        <v>-5.6719999999999997</v>
      </c>
      <c r="O133" s="61"/>
      <c r="P133">
        <v>2429.666666666667</v>
      </c>
      <c r="Q133">
        <f t="shared" si="42"/>
        <v>3.3855466955089257</v>
      </c>
      <c r="S133">
        <f t="shared" si="43"/>
        <v>5.8623472715089262</v>
      </c>
      <c r="T133">
        <f t="shared" si="44"/>
        <v>2.0152548529711063</v>
      </c>
      <c r="U133">
        <f t="shared" si="49"/>
        <v>0.63125906712344859</v>
      </c>
      <c r="AA133" s="40"/>
      <c r="AE133">
        <v>4472.666666666667</v>
      </c>
      <c r="AF133">
        <f t="shared" si="45"/>
        <v>3.6505665328201879</v>
      </c>
      <c r="AG133">
        <f>0.329-0.335423795277182</f>
        <v>-6.4237952771820095E-3</v>
      </c>
      <c r="AH133">
        <f t="shared" si="46"/>
        <v>3.644142737820188</v>
      </c>
      <c r="AI133">
        <f t="shared" si="47"/>
        <v>0.46967639088273794</v>
      </c>
      <c r="AJ133">
        <f t="shared" si="48"/>
        <v>0.18531283005672369</v>
      </c>
    </row>
    <row r="134" spans="1:36" ht="14.25" customHeight="1" x14ac:dyDescent="0.4">
      <c r="A134" s="53" t="s">
        <v>177</v>
      </c>
      <c r="B134" s="58" t="s">
        <v>31</v>
      </c>
      <c r="C134" s="58">
        <v>38.1</v>
      </c>
      <c r="D134" s="58" t="s">
        <v>35</v>
      </c>
      <c r="E134" s="58">
        <v>17.420000000000002</v>
      </c>
      <c r="F134" s="58" t="s">
        <v>29</v>
      </c>
      <c r="G134" s="58">
        <v>30.63</v>
      </c>
      <c r="H134" s="58">
        <v>12.84</v>
      </c>
      <c r="I134" s="58" t="s">
        <v>64</v>
      </c>
      <c r="J134" s="58">
        <v>1.02</v>
      </c>
      <c r="K134" s="58" t="s">
        <v>176</v>
      </c>
      <c r="L134" s="62">
        <v>2.952</v>
      </c>
      <c r="M134">
        <v>0.7329</v>
      </c>
      <c r="N134" s="61">
        <v>0.74539999999999995</v>
      </c>
      <c r="O134" s="61"/>
      <c r="P134">
        <v>1805.333333333333</v>
      </c>
      <c r="Q134">
        <f t="shared" si="42"/>
        <v>3.2565574009574254</v>
      </c>
      <c r="S134">
        <f t="shared" si="43"/>
        <v>5.7333579769574259</v>
      </c>
      <c r="T134">
        <f t="shared" si="44"/>
        <v>1.886265558419606</v>
      </c>
      <c r="U134">
        <f t="shared" si="49"/>
        <v>0.59085441972739083</v>
      </c>
      <c r="AA134" s="40"/>
      <c r="AE134" s="63">
        <v>4626.666666666667</v>
      </c>
      <c r="AF134">
        <f t="shared" si="45"/>
        <v>3.6652682113991739</v>
      </c>
      <c r="AG134">
        <v>-6.4237952771820086E-3</v>
      </c>
      <c r="AH134">
        <f t="shared" si="46"/>
        <v>3.658844416399174</v>
      </c>
      <c r="AI134">
        <f t="shared" si="47"/>
        <v>0.4843780694617239</v>
      </c>
      <c r="AJ134">
        <f t="shared" si="48"/>
        <v>0.1911134402575809</v>
      </c>
    </row>
    <row r="135" spans="1:36" ht="14.25" customHeight="1" x14ac:dyDescent="0.4">
      <c r="A135" s="51" t="s">
        <v>178</v>
      </c>
      <c r="B135" s="58" t="s">
        <v>168</v>
      </c>
      <c r="C135" s="58">
        <v>9.34</v>
      </c>
      <c r="D135" s="58" t="s">
        <v>168</v>
      </c>
      <c r="E135" s="58">
        <v>21.67</v>
      </c>
      <c r="F135" s="58" t="s">
        <v>32</v>
      </c>
      <c r="G135" s="58">
        <v>29.72</v>
      </c>
      <c r="H135" s="58">
        <v>36.08</v>
      </c>
      <c r="I135" s="58" t="s">
        <v>57</v>
      </c>
      <c r="J135" s="58">
        <v>3.18</v>
      </c>
      <c r="K135" s="58" t="s">
        <v>159</v>
      </c>
      <c r="L135" s="62">
        <v>1052</v>
      </c>
      <c r="M135">
        <v>0.82920000000000005</v>
      </c>
      <c r="N135" s="61">
        <v>-4.3540000000000001</v>
      </c>
      <c r="O135" s="61"/>
      <c r="P135">
        <v>3807.333333333333</v>
      </c>
      <c r="Q135">
        <f t="shared" si="42"/>
        <v>3.5806209011090901</v>
      </c>
      <c r="S135">
        <f t="shared" si="43"/>
        <v>6.0574214771090906</v>
      </c>
      <c r="T135">
        <f t="shared" si="44"/>
        <v>2.2103290585712707</v>
      </c>
      <c r="U135">
        <f t="shared" si="49"/>
        <v>0.6923641729444111</v>
      </c>
      <c r="AA135" s="40"/>
      <c r="AE135" s="63">
        <v>4378.666666666667</v>
      </c>
      <c r="AF135">
        <f t="shared" si="45"/>
        <v>3.6413418850557031</v>
      </c>
      <c r="AG135">
        <v>3.24545765955253</v>
      </c>
      <c r="AH135">
        <f t="shared" si="46"/>
        <v>3.6349180900557032</v>
      </c>
      <c r="AI135">
        <f t="shared" si="47"/>
        <v>0.4604517431182531</v>
      </c>
      <c r="AJ135">
        <f t="shared" si="48"/>
        <v>0.18167320580330895</v>
      </c>
    </row>
    <row r="136" spans="1:36" ht="14.25" customHeight="1" x14ac:dyDescent="0.4">
      <c r="A136" s="53" t="s">
        <v>179</v>
      </c>
      <c r="B136" s="58" t="s">
        <v>33</v>
      </c>
      <c r="C136" s="58">
        <v>17.98</v>
      </c>
      <c r="D136" s="58" t="s">
        <v>168</v>
      </c>
      <c r="E136" s="58">
        <v>40.71</v>
      </c>
      <c r="F136" s="58" t="s">
        <v>29</v>
      </c>
      <c r="G136" s="58">
        <v>6.25</v>
      </c>
      <c r="H136" s="58">
        <v>33.47</v>
      </c>
      <c r="I136" s="58" t="s">
        <v>30</v>
      </c>
      <c r="J136" s="58">
        <v>1.58</v>
      </c>
      <c r="K136" s="58" t="s">
        <v>174</v>
      </c>
      <c r="L136" s="62">
        <v>1220</v>
      </c>
      <c r="M136">
        <v>0.95809999999999995</v>
      </c>
      <c r="N136" s="64">
        <v>7.0639999999999994E-2</v>
      </c>
      <c r="O136" s="64"/>
      <c r="P136">
        <v>25373.333333333328</v>
      </c>
      <c r="Q136">
        <f t="shared" si="42"/>
        <v>4.4043775248953203</v>
      </c>
      <c r="S136">
        <f t="shared" si="43"/>
        <v>6.8811781008953208</v>
      </c>
      <c r="T136">
        <f t="shared" si="44"/>
        <v>3.0340856823575009</v>
      </c>
      <c r="U136">
        <f t="shared" si="49"/>
        <v>0.9503979581509876</v>
      </c>
      <c r="AE136" s="63">
        <v>38790</v>
      </c>
      <c r="AF136">
        <f t="shared" si="45"/>
        <v>4.5887197796000567</v>
      </c>
      <c r="AG136">
        <v>3.1744663469374501</v>
      </c>
      <c r="AH136">
        <f t="shared" si="46"/>
        <v>4.5822959846000568</v>
      </c>
      <c r="AI136">
        <f t="shared" si="47"/>
        <v>1.4078296376626067</v>
      </c>
      <c r="AJ136">
        <f t="shared" si="48"/>
        <v>0.55546520850805237</v>
      </c>
    </row>
    <row r="137" spans="1:36" ht="14.25" customHeight="1" x14ac:dyDescent="0.4">
      <c r="A137" s="54" t="s">
        <v>180</v>
      </c>
      <c r="B137" s="58" t="s">
        <v>35</v>
      </c>
      <c r="C137" s="58">
        <v>19.739999999999998</v>
      </c>
      <c r="D137" s="58" t="s">
        <v>34</v>
      </c>
      <c r="E137" s="58">
        <v>34.01</v>
      </c>
      <c r="F137" s="58" t="s">
        <v>32</v>
      </c>
      <c r="G137" s="58">
        <v>32.729999999999997</v>
      </c>
      <c r="H137" s="58">
        <v>9.6999999999999993</v>
      </c>
      <c r="I137" s="58" t="s">
        <v>64</v>
      </c>
      <c r="J137" s="58">
        <v>3.82</v>
      </c>
      <c r="K137" s="58" t="s">
        <v>181</v>
      </c>
      <c r="L137" s="62">
        <v>2.2850000000000001</v>
      </c>
      <c r="M137">
        <v>0.439</v>
      </c>
      <c r="N137" s="61">
        <v>2.5030000000000001</v>
      </c>
      <c r="O137" s="61"/>
      <c r="P137">
        <v>6575.333333333333</v>
      </c>
      <c r="Q137">
        <f t="shared" si="42"/>
        <v>3.817917774067932</v>
      </c>
      <c r="S137">
        <f t="shared" si="43"/>
        <v>6.2947183500679325</v>
      </c>
      <c r="T137">
        <f t="shared" si="44"/>
        <v>2.4476259315301125</v>
      </c>
      <c r="U137">
        <f t="shared" si="49"/>
        <v>0.76669512043448407</v>
      </c>
      <c r="AE137" s="63">
        <v>4103.333333333333</v>
      </c>
      <c r="AF137">
        <f t="shared" si="45"/>
        <v>3.613136798211654</v>
      </c>
      <c r="AH137">
        <f t="shared" si="46"/>
        <v>3.6067130032116541</v>
      </c>
      <c r="AI137">
        <f t="shared" si="47"/>
        <v>0.432246656274204</v>
      </c>
      <c r="AJ137">
        <f t="shared" si="48"/>
        <v>0.17054476808208793</v>
      </c>
    </row>
    <row r="138" spans="1:36" ht="14.25" customHeight="1" x14ac:dyDescent="0.4">
      <c r="A138" s="54" t="s">
        <v>182</v>
      </c>
      <c r="B138" s="58" t="s">
        <v>27</v>
      </c>
      <c r="C138" s="58">
        <v>9.68</v>
      </c>
      <c r="D138" s="58" t="s">
        <v>35</v>
      </c>
      <c r="E138" s="58">
        <v>20.76</v>
      </c>
      <c r="F138" s="58" t="s">
        <v>29</v>
      </c>
      <c r="G138" s="58">
        <v>37.6</v>
      </c>
      <c r="H138" s="58">
        <v>30.84</v>
      </c>
      <c r="I138" s="58" t="s">
        <v>57</v>
      </c>
      <c r="J138" s="58">
        <v>1.1200000000000001</v>
      </c>
      <c r="K138" s="58" t="s">
        <v>183</v>
      </c>
      <c r="L138" s="62"/>
      <c r="Q138" t="e">
        <f t="shared" si="42"/>
        <v>#NUM!</v>
      </c>
      <c r="S138" t="e">
        <f t="shared" si="43"/>
        <v>#NUM!</v>
      </c>
      <c r="U138">
        <f t="shared" si="49"/>
        <v>0</v>
      </c>
      <c r="AE138" s="63"/>
    </row>
    <row r="139" spans="1:36" ht="14.25" customHeight="1" x14ac:dyDescent="0.4">
      <c r="A139" s="54" t="s">
        <v>184</v>
      </c>
      <c r="B139" s="58" t="s">
        <v>34</v>
      </c>
      <c r="C139" s="58">
        <v>11.51</v>
      </c>
      <c r="D139" s="58" t="s">
        <v>35</v>
      </c>
      <c r="E139" s="58">
        <v>22.46</v>
      </c>
      <c r="F139" s="58" t="s">
        <v>32</v>
      </c>
      <c r="G139" s="58">
        <v>6.77</v>
      </c>
      <c r="H139" s="58">
        <v>56.79</v>
      </c>
      <c r="I139" s="58" t="s">
        <v>30</v>
      </c>
      <c r="J139" s="58">
        <v>2.48</v>
      </c>
      <c r="K139" s="58" t="s">
        <v>185</v>
      </c>
      <c r="L139" s="62">
        <v>127.5</v>
      </c>
      <c r="M139">
        <v>0.34870000000000001</v>
      </c>
      <c r="N139" s="61">
        <v>-1.31</v>
      </c>
      <c r="O139" s="61"/>
      <c r="P139">
        <v>4258.333333333333</v>
      </c>
      <c r="Q139">
        <f t="shared" si="42"/>
        <v>3.6292396540870877</v>
      </c>
      <c r="S139">
        <f t="shared" si="43"/>
        <v>6.1060402300870882</v>
      </c>
      <c r="T139">
        <f t="shared" ref="T139:T147" si="50">S139-3.84709241853782</f>
        <v>2.2589478115492683</v>
      </c>
      <c r="U139">
        <f t="shared" si="49"/>
        <v>0.70759352649458274</v>
      </c>
      <c r="AE139" s="63">
        <v>30706.666666666672</v>
      </c>
      <c r="AF139">
        <f t="shared" ref="AF139:AF150" si="51">LOG10(AE139)</f>
        <v>4.4872326745725308</v>
      </c>
      <c r="AH139">
        <f t="shared" ref="AH139:AH150" si="52">AF139-0.006423795</f>
        <v>4.4808088795725309</v>
      </c>
      <c r="AI139">
        <f t="shared" ref="AI139:AI150" si="53">AH139-3.17446634693745</f>
        <v>1.3063425326350808</v>
      </c>
      <c r="AJ139">
        <f t="shared" ref="AJ139:AJ149" si="54">AI139/2.53450552095595</f>
        <v>0.51542303689374569</v>
      </c>
    </row>
    <row r="140" spans="1:36" ht="14.25" customHeight="1" x14ac:dyDescent="0.4">
      <c r="A140" s="51" t="s">
        <v>186</v>
      </c>
      <c r="B140" s="58" t="s">
        <v>33</v>
      </c>
      <c r="C140" s="58">
        <v>30.2</v>
      </c>
      <c r="D140" s="58" t="s">
        <v>31</v>
      </c>
      <c r="E140" s="58">
        <v>23.24</v>
      </c>
      <c r="F140" s="58" t="s">
        <v>29</v>
      </c>
      <c r="G140" s="58">
        <v>5.28</v>
      </c>
      <c r="H140" s="58">
        <v>38.950000000000003</v>
      </c>
      <c r="I140" s="58" t="s">
        <v>64</v>
      </c>
      <c r="J140" s="58">
        <v>2.34</v>
      </c>
      <c r="K140" s="58" t="s">
        <v>187</v>
      </c>
      <c r="L140" s="62">
        <v>110.8</v>
      </c>
      <c r="M140">
        <v>0.21870000000000001</v>
      </c>
      <c r="N140" s="61">
        <v>-4.1539999999999999</v>
      </c>
      <c r="O140" s="61"/>
      <c r="P140">
        <v>2317.333333333333</v>
      </c>
      <c r="Q140">
        <f t="shared" si="42"/>
        <v>3.3649885087209475</v>
      </c>
      <c r="S140">
        <f t="shared" si="43"/>
        <v>5.8417890847209479</v>
      </c>
      <c r="T140">
        <f t="shared" si="50"/>
        <v>1.994696666183128</v>
      </c>
      <c r="U140">
        <f t="shared" si="49"/>
        <v>0.62481941419598097</v>
      </c>
      <c r="AE140" s="63">
        <v>5892.333333333333</v>
      </c>
      <c r="AF140">
        <f t="shared" si="51"/>
        <v>3.7702873072019072</v>
      </c>
      <c r="AH140">
        <f t="shared" si="52"/>
        <v>3.7638635122019073</v>
      </c>
      <c r="AI140">
        <f t="shared" si="53"/>
        <v>0.58939716526445718</v>
      </c>
      <c r="AJ140">
        <f t="shared" si="54"/>
        <v>0.23254917394780492</v>
      </c>
    </row>
    <row r="141" spans="1:36" ht="14.25" customHeight="1" x14ac:dyDescent="0.4">
      <c r="A141" s="55" t="s">
        <v>188</v>
      </c>
      <c r="B141" s="58" t="s">
        <v>168</v>
      </c>
      <c r="C141" s="58">
        <v>25.11</v>
      </c>
      <c r="D141" s="58" t="s">
        <v>34</v>
      </c>
      <c r="E141" s="58">
        <v>13.49</v>
      </c>
      <c r="F141" s="58" t="s">
        <v>32</v>
      </c>
      <c r="G141" s="58">
        <v>34.729999999999997</v>
      </c>
      <c r="H141" s="58">
        <v>22.71</v>
      </c>
      <c r="I141" s="58" t="s">
        <v>57</v>
      </c>
      <c r="J141" s="58">
        <v>3.97</v>
      </c>
      <c r="K141" s="58" t="s">
        <v>189</v>
      </c>
      <c r="L141" s="62">
        <v>666.2</v>
      </c>
      <c r="M141">
        <v>0.90249999999999997</v>
      </c>
      <c r="N141" s="61">
        <v>8.7989999999999995</v>
      </c>
      <c r="O141" s="61"/>
      <c r="P141">
        <v>10309.66666666667</v>
      </c>
      <c r="Q141">
        <f t="shared" si="42"/>
        <v>4.0132446238511648</v>
      </c>
      <c r="R141" t="s">
        <v>190</v>
      </c>
      <c r="S141">
        <f t="shared" si="43"/>
        <v>6.4900451998511652</v>
      </c>
      <c r="T141">
        <f t="shared" si="50"/>
        <v>2.6429527813133453</v>
      </c>
      <c r="U141">
        <f>T141/3.19243708</f>
        <v>0.8278793645992063</v>
      </c>
      <c r="AE141" s="63">
        <v>8679.6666666666661</v>
      </c>
      <c r="AF141">
        <f t="shared" si="51"/>
        <v>3.9385030468807507</v>
      </c>
      <c r="AG141" t="s">
        <v>191</v>
      </c>
      <c r="AH141">
        <f t="shared" si="52"/>
        <v>3.9320792518807508</v>
      </c>
      <c r="AI141">
        <f t="shared" si="53"/>
        <v>0.75761290494330069</v>
      </c>
      <c r="AJ141">
        <f t="shared" si="54"/>
        <v>0.29891941393662802</v>
      </c>
    </row>
    <row r="142" spans="1:36" ht="14.25" customHeight="1" x14ac:dyDescent="0.4">
      <c r="A142" s="80" t="s">
        <v>192</v>
      </c>
      <c r="B142" s="59" t="s">
        <v>33</v>
      </c>
      <c r="C142" s="59">
        <v>12</v>
      </c>
      <c r="D142" s="59" t="s">
        <v>35</v>
      </c>
      <c r="E142" s="59">
        <v>22.9</v>
      </c>
      <c r="F142" s="59" t="s">
        <v>29</v>
      </c>
      <c r="G142" s="59">
        <v>34.799999999999997</v>
      </c>
      <c r="H142" s="59">
        <v>27.8</v>
      </c>
      <c r="I142" s="59" t="s">
        <v>30</v>
      </c>
      <c r="J142" s="59">
        <v>2.5</v>
      </c>
      <c r="K142" s="59" t="s">
        <v>185</v>
      </c>
      <c r="L142" s="62">
        <v>102.2</v>
      </c>
      <c r="M142">
        <v>0.24199999999999999</v>
      </c>
      <c r="N142" s="61">
        <v>-2.9860000000000002</v>
      </c>
      <c r="O142" s="61"/>
      <c r="P142">
        <v>5305</v>
      </c>
      <c r="Q142" s="76">
        <f t="shared" si="42"/>
        <v>3.7246853882373596</v>
      </c>
      <c r="R142">
        <f>S95-Q142</f>
        <v>2.5235804717352792</v>
      </c>
      <c r="S142">
        <f t="shared" si="43"/>
        <v>6.2014859642373601</v>
      </c>
      <c r="T142">
        <f t="shared" si="50"/>
        <v>2.3543935456995402</v>
      </c>
      <c r="U142">
        <f t="shared" si="49"/>
        <v>0.73749097842816069</v>
      </c>
      <c r="AE142" s="63">
        <v>52257.666666666657</v>
      </c>
      <c r="AF142">
        <f t="shared" si="51"/>
        <v>4.7181500143386055</v>
      </c>
      <c r="AG142">
        <f>AH95-AF142</f>
        <v>0.14873283227666878</v>
      </c>
      <c r="AH142">
        <f t="shared" si="52"/>
        <v>4.7117262193386056</v>
      </c>
      <c r="AI142">
        <f t="shared" si="53"/>
        <v>1.5372598724011555</v>
      </c>
      <c r="AJ142">
        <f t="shared" si="54"/>
        <v>0.60653246153566898</v>
      </c>
    </row>
    <row r="143" spans="1:36" ht="14.25" customHeight="1" x14ac:dyDescent="0.4">
      <c r="A143" s="80" t="s">
        <v>193</v>
      </c>
      <c r="B143" s="59" t="s">
        <v>33</v>
      </c>
      <c r="C143" s="59">
        <v>8</v>
      </c>
      <c r="D143" s="59" t="s">
        <v>35</v>
      </c>
      <c r="E143" s="59">
        <v>17</v>
      </c>
      <c r="F143" s="59" t="s">
        <v>29</v>
      </c>
      <c r="G143" s="59">
        <v>35</v>
      </c>
      <c r="H143" s="59">
        <v>38.5</v>
      </c>
      <c r="I143" s="59" t="s">
        <v>30</v>
      </c>
      <c r="J143" s="59">
        <v>1.5</v>
      </c>
      <c r="K143" s="59" t="s">
        <v>183</v>
      </c>
      <c r="L143" s="62">
        <v>135.19999999999999</v>
      </c>
      <c r="M143">
        <v>0.2162</v>
      </c>
      <c r="N143" s="61">
        <v>-3.339</v>
      </c>
      <c r="O143" s="61"/>
      <c r="P143">
        <v>5908.333333333333</v>
      </c>
      <c r="Q143" s="76">
        <f t="shared" si="42"/>
        <v>3.7714649891354415</v>
      </c>
      <c r="R143">
        <f>S97-Q143</f>
        <v>2.5279082203342056</v>
      </c>
      <c r="S143">
        <f t="shared" si="43"/>
        <v>6.2482655651354415</v>
      </c>
      <c r="T143">
        <f t="shared" si="50"/>
        <v>2.4011731465976216</v>
      </c>
      <c r="U143">
        <f t="shared" si="49"/>
        <v>0.75214423539950293</v>
      </c>
      <c r="AE143" s="63">
        <v>63006.666666666657</v>
      </c>
      <c r="AF143">
        <f t="shared" si="51"/>
        <v>4.7993865041101937</v>
      </c>
      <c r="AG143">
        <f>AH97-AF143</f>
        <v>-0.15868968108756043</v>
      </c>
      <c r="AH143">
        <f t="shared" si="52"/>
        <v>4.7929627091101938</v>
      </c>
      <c r="AI143">
        <f t="shared" si="53"/>
        <v>1.6184963621727437</v>
      </c>
      <c r="AJ143">
        <f t="shared" si="54"/>
        <v>0.6385846662359167</v>
      </c>
    </row>
    <row r="144" spans="1:36" ht="14.25" customHeight="1" x14ac:dyDescent="0.4">
      <c r="A144" s="55" t="s">
        <v>194</v>
      </c>
      <c r="B144" s="59" t="s">
        <v>33</v>
      </c>
      <c r="C144" s="59">
        <v>21.3</v>
      </c>
      <c r="D144" s="59" t="s">
        <v>35</v>
      </c>
      <c r="E144" s="59">
        <v>14.2</v>
      </c>
      <c r="F144" s="59" t="s">
        <v>29</v>
      </c>
      <c r="G144" s="59">
        <v>16.3</v>
      </c>
      <c r="H144" s="59">
        <v>47.2</v>
      </c>
      <c r="I144" s="59" t="s">
        <v>30</v>
      </c>
      <c r="J144" s="59">
        <v>1</v>
      </c>
      <c r="K144" s="59" t="s">
        <v>153</v>
      </c>
      <c r="L144" s="62">
        <v>149.80000000000001</v>
      </c>
      <c r="M144">
        <v>0.20780000000000001</v>
      </c>
      <c r="N144" s="61">
        <v>-2.33</v>
      </c>
      <c r="O144" s="61"/>
      <c r="P144">
        <v>16270</v>
      </c>
      <c r="Q144">
        <f t="shared" si="42"/>
        <v>4.2113875529368592</v>
      </c>
      <c r="S144">
        <f t="shared" si="43"/>
        <v>6.6881881289368597</v>
      </c>
      <c r="T144">
        <f t="shared" si="50"/>
        <v>2.8410957103990397</v>
      </c>
      <c r="U144">
        <f t="shared" si="49"/>
        <v>0.88994571833473368</v>
      </c>
      <c r="AE144" s="63">
        <v>15146</v>
      </c>
      <c r="AF144">
        <f t="shared" si="51"/>
        <v>4.1802979524885941</v>
      </c>
      <c r="AH144">
        <f t="shared" si="52"/>
        <v>4.1738741574885942</v>
      </c>
      <c r="AI144">
        <f t="shared" si="53"/>
        <v>0.99940781055114414</v>
      </c>
      <c r="AJ144">
        <f t="shared" si="54"/>
        <v>0.39432062873321078</v>
      </c>
    </row>
    <row r="145" spans="1:36" ht="14.25" customHeight="1" x14ac:dyDescent="0.4">
      <c r="A145" s="55" t="s">
        <v>195</v>
      </c>
      <c r="B145" s="59" t="s">
        <v>33</v>
      </c>
      <c r="C145" s="59">
        <v>21</v>
      </c>
      <c r="D145" s="59" t="s">
        <v>35</v>
      </c>
      <c r="E145" s="59">
        <v>14</v>
      </c>
      <c r="F145" s="59" t="s">
        <v>29</v>
      </c>
      <c r="G145" s="59">
        <v>50</v>
      </c>
      <c r="H145" s="59">
        <v>12.5</v>
      </c>
      <c r="I145" s="59" t="s">
        <v>30</v>
      </c>
      <c r="J145" s="59">
        <v>2.5</v>
      </c>
      <c r="K145" s="59" t="s">
        <v>153</v>
      </c>
      <c r="L145" s="62">
        <v>116.3</v>
      </c>
      <c r="M145">
        <v>0.25230000000000002</v>
      </c>
      <c r="N145" s="61">
        <v>-3.8460000000000001</v>
      </c>
      <c r="O145" s="61"/>
      <c r="P145">
        <v>16093.33333333333</v>
      </c>
      <c r="Q145">
        <f t="shared" si="42"/>
        <v>4.2066460067056495</v>
      </c>
      <c r="S145">
        <f t="shared" si="43"/>
        <v>6.68344658270565</v>
      </c>
      <c r="T145">
        <f>S145-3.84709241853782</f>
        <v>2.83635416416783</v>
      </c>
      <c r="U145">
        <f t="shared" si="49"/>
        <v>0.8884604748945687</v>
      </c>
      <c r="AE145" s="63">
        <v>3638.333333333333</v>
      </c>
      <c r="AF145">
        <f t="shared" si="51"/>
        <v>3.5609024853254954</v>
      </c>
      <c r="AH145">
        <f t="shared" si="52"/>
        <v>3.5544786903254955</v>
      </c>
      <c r="AI145">
        <f t="shared" si="53"/>
        <v>0.38001234338804535</v>
      </c>
      <c r="AJ145">
        <f t="shared" si="54"/>
        <v>0.14993549639012602</v>
      </c>
    </row>
    <row r="146" spans="1:36" ht="14.25" customHeight="1" x14ac:dyDescent="0.4">
      <c r="A146" s="80" t="s">
        <v>196</v>
      </c>
      <c r="B146" s="59" t="s">
        <v>168</v>
      </c>
      <c r="C146" s="59">
        <v>28.1</v>
      </c>
      <c r="D146" s="59" t="s">
        <v>35</v>
      </c>
      <c r="E146" s="59">
        <v>12.1</v>
      </c>
      <c r="F146" s="59" t="s">
        <v>29</v>
      </c>
      <c r="G146" s="59">
        <v>25.1</v>
      </c>
      <c r="H146" s="59">
        <v>32.200000000000003</v>
      </c>
      <c r="I146" s="59" t="s">
        <v>30</v>
      </c>
      <c r="J146" s="59">
        <v>2.5</v>
      </c>
      <c r="K146" s="59" t="s">
        <v>151</v>
      </c>
      <c r="L146" s="62">
        <v>170.2</v>
      </c>
      <c r="M146">
        <v>0.1938</v>
      </c>
      <c r="N146" s="61">
        <v>-2.871</v>
      </c>
      <c r="O146" s="61"/>
      <c r="P146">
        <v>8195.3333333333339</v>
      </c>
      <c r="Q146" s="76">
        <f t="shared" si="42"/>
        <v>3.9135666225658481</v>
      </c>
      <c r="R146">
        <f>S87-Q146</f>
        <v>2.0918357553785381</v>
      </c>
      <c r="S146">
        <f t="shared" si="43"/>
        <v>6.3903671985658486</v>
      </c>
      <c r="T146">
        <f t="shared" si="50"/>
        <v>2.5432747800280286</v>
      </c>
      <c r="U146">
        <f t="shared" si="49"/>
        <v>0.79665619597051818</v>
      </c>
      <c r="AE146" s="63">
        <v>66780</v>
      </c>
      <c r="AF146">
        <f t="shared" si="51"/>
        <v>4.8246464147183517</v>
      </c>
      <c r="AG146">
        <f>AH87-AF146</f>
        <v>-9.1807910081458388E-3</v>
      </c>
      <c r="AH146">
        <f t="shared" si="52"/>
        <v>4.8182226197183518</v>
      </c>
      <c r="AI146">
        <f t="shared" si="53"/>
        <v>1.6437562727809016</v>
      </c>
      <c r="AJ146">
        <f t="shared" si="54"/>
        <v>0.64855107206904772</v>
      </c>
    </row>
    <row r="147" spans="1:36" ht="14.25" customHeight="1" x14ac:dyDescent="0.4">
      <c r="A147" s="50" t="s">
        <v>197</v>
      </c>
      <c r="B147" s="59" t="s">
        <v>33</v>
      </c>
      <c r="C147" s="59">
        <v>6</v>
      </c>
      <c r="D147" s="59" t="s">
        <v>35</v>
      </c>
      <c r="E147" s="59">
        <v>12</v>
      </c>
      <c r="F147" s="59" t="s">
        <v>29</v>
      </c>
      <c r="G147" s="59">
        <v>30</v>
      </c>
      <c r="H147" s="59">
        <v>49.5</v>
      </c>
      <c r="I147" s="59" t="s">
        <v>30</v>
      </c>
      <c r="J147" s="59">
        <v>2.5</v>
      </c>
      <c r="K147" s="59" t="s">
        <v>171</v>
      </c>
      <c r="L147" s="62">
        <v>140</v>
      </c>
      <c r="M147">
        <v>0.20530000000000001</v>
      </c>
      <c r="N147" s="61">
        <v>-2.8130000000000002</v>
      </c>
      <c r="O147" s="61"/>
      <c r="P147">
        <v>2730.333333333333</v>
      </c>
      <c r="Q147">
        <f t="shared" si="42"/>
        <v>3.4362156712129606</v>
      </c>
      <c r="R147">
        <f>(R142+R143+R146)/3</f>
        <v>2.3811081491493411</v>
      </c>
      <c r="S147">
        <f t="shared" si="43"/>
        <v>5.913016247212961</v>
      </c>
      <c r="T147">
        <f t="shared" si="50"/>
        <v>2.0659238286751411</v>
      </c>
      <c r="U147">
        <f>T147/3.19243708</f>
        <v>0.6471306330883555</v>
      </c>
      <c r="AE147" s="63">
        <v>11805</v>
      </c>
      <c r="AF147">
        <f t="shared" si="51"/>
        <v>4.0720659914147461</v>
      </c>
      <c r="AG147">
        <f>(AG142+AG143+AG146)/3</f>
        <v>-6.3792132730124962E-3</v>
      </c>
      <c r="AH147">
        <f t="shared" si="52"/>
        <v>4.0656421964147462</v>
      </c>
      <c r="AI147">
        <f t="shared" si="53"/>
        <v>0.89117584947729611</v>
      </c>
      <c r="AJ147">
        <f t="shared" si="54"/>
        <v>0.3516172453004433</v>
      </c>
    </row>
    <row r="148" spans="1:36" ht="14.25" customHeight="1" x14ac:dyDescent="0.4">
      <c r="A148" s="72" t="s">
        <v>58</v>
      </c>
      <c r="L148" s="62">
        <v>153.80000000000001</v>
      </c>
      <c r="M148">
        <v>0.62060000000000004</v>
      </c>
      <c r="N148" s="61">
        <v>-4.077</v>
      </c>
      <c r="O148" s="61"/>
      <c r="P148">
        <v>2492.333333333333</v>
      </c>
      <c r="Q148" s="67">
        <f t="shared" si="42"/>
        <v>3.3966061259270171</v>
      </c>
      <c r="R148" s="77" t="s">
        <v>198</v>
      </c>
      <c r="U148">
        <f>T148/3.09674465364152</f>
        <v>0</v>
      </c>
      <c r="AE148" s="63">
        <v>3081</v>
      </c>
      <c r="AF148">
        <f t="shared" si="51"/>
        <v>3.4886916983169405</v>
      </c>
      <c r="AG148">
        <v>-6.3792132730122004E-3</v>
      </c>
      <c r="AH148">
        <f t="shared" si="52"/>
        <v>3.4822679033169406</v>
      </c>
      <c r="AI148">
        <f t="shared" si="53"/>
        <v>0.30780155637949047</v>
      </c>
      <c r="AJ148">
        <f t="shared" si="54"/>
        <v>0.12144442134156239</v>
      </c>
    </row>
    <row r="149" spans="1:36" ht="14.25" customHeight="1" x14ac:dyDescent="0.4">
      <c r="A149" s="72" t="s">
        <v>199</v>
      </c>
      <c r="L149" s="62">
        <v>104.8</v>
      </c>
      <c r="M149">
        <v>0.23469999999999999</v>
      </c>
      <c r="N149" s="61">
        <v>-4.8819999999999997</v>
      </c>
      <c r="O149" s="61"/>
      <c r="P149">
        <v>4857</v>
      </c>
      <c r="Q149" s="67">
        <f t="shared" si="42"/>
        <v>3.6863681034730362</v>
      </c>
      <c r="R149" t="s">
        <v>200</v>
      </c>
      <c r="U149">
        <f>T149/3.09674465364152</f>
        <v>0</v>
      </c>
      <c r="AE149" s="63">
        <v>1882.333333333333</v>
      </c>
      <c r="AF149">
        <f t="shared" si="51"/>
        <v>3.2746965330172166</v>
      </c>
      <c r="AH149">
        <f t="shared" si="52"/>
        <v>3.2682727380172167</v>
      </c>
      <c r="AI149">
        <f t="shared" si="53"/>
        <v>9.3806391079766627E-2</v>
      </c>
      <c r="AJ149">
        <f t="shared" si="54"/>
        <v>3.7011713055722706E-2</v>
      </c>
    </row>
    <row r="150" spans="1:36" ht="14.25" customHeight="1" x14ac:dyDescent="0.4">
      <c r="A150" s="72" t="s">
        <v>201</v>
      </c>
      <c r="L150" s="62">
        <v>160.9</v>
      </c>
      <c r="M150">
        <v>0.48199999999999998</v>
      </c>
      <c r="N150" s="61">
        <v>-4.5110000000000001</v>
      </c>
      <c r="O150" s="61"/>
      <c r="P150">
        <v>1939</v>
      </c>
      <c r="Q150" s="67">
        <f t="shared" si="42"/>
        <v>3.2875778090787056</v>
      </c>
      <c r="R150">
        <v>1.491206306345954</v>
      </c>
      <c r="U150">
        <f>T150/3.09674465364152</f>
        <v>0</v>
      </c>
      <c r="AE150" s="63">
        <v>1516.666666666667</v>
      </c>
      <c r="AF150">
        <f t="shared" si="51"/>
        <v>3.18089014193745</v>
      </c>
      <c r="AH150" s="77">
        <f t="shared" si="52"/>
        <v>3.1744663469374501</v>
      </c>
      <c r="AI150">
        <f t="shared" si="53"/>
        <v>0</v>
      </c>
      <c r="AJ150">
        <f>AI150/2.46346962661388</f>
        <v>0</v>
      </c>
    </row>
    <row r="151" spans="1:36" x14ac:dyDescent="0.4">
      <c r="Q151" s="67"/>
      <c r="R151" t="e">
        <f>(R148+R149+R150)/3</f>
        <v>#VALUE!</v>
      </c>
      <c r="U151">
        <f>T151/3.09674465364152</f>
        <v>0</v>
      </c>
    </row>
    <row r="152" spans="1:36" x14ac:dyDescent="0.4">
      <c r="Q152" s="67"/>
    </row>
    <row r="153" spans="1:36" hidden="1" x14ac:dyDescent="0.4">
      <c r="A153" s="87" t="s">
        <v>202</v>
      </c>
      <c r="B153" s="88" t="s">
        <v>168</v>
      </c>
      <c r="C153" s="89">
        <v>11.6</v>
      </c>
      <c r="D153" s="88" t="s">
        <v>35</v>
      </c>
      <c r="E153" s="89">
        <v>11.6</v>
      </c>
      <c r="F153" s="88" t="s">
        <v>32</v>
      </c>
      <c r="G153" s="89">
        <v>35.090000000000003</v>
      </c>
      <c r="H153" s="89">
        <v>40.073999999999998</v>
      </c>
      <c r="I153" s="89" t="s">
        <v>64</v>
      </c>
      <c r="J153" s="89">
        <v>1.6359999999999999</v>
      </c>
      <c r="K153" s="95">
        <f t="shared" ref="K153:K167" si="55">C153+E153</f>
        <v>23.2</v>
      </c>
      <c r="L153" s="90">
        <v>101.7</v>
      </c>
      <c r="M153" s="90">
        <v>0.22550000000000001</v>
      </c>
      <c r="N153" s="90">
        <v>-5.2060000000000004</v>
      </c>
      <c r="O153" s="90"/>
      <c r="P153" s="90">
        <v>602.03</v>
      </c>
      <c r="Q153">
        <f t="shared" ref="Q153:Q168" si="56">LOG10(P153)</f>
        <v>2.7796181333007302</v>
      </c>
      <c r="S153">
        <f t="shared" ref="S153:S168" si="57">Q153+0.142396877</f>
        <v>2.9220150103007301</v>
      </c>
    </row>
    <row r="154" spans="1:36" hidden="1" x14ac:dyDescent="0.4">
      <c r="A154" s="87" t="s">
        <v>203</v>
      </c>
      <c r="B154" s="88" t="s">
        <v>168</v>
      </c>
      <c r="C154" s="89">
        <v>11.6</v>
      </c>
      <c r="D154" s="88" t="s">
        <v>35</v>
      </c>
      <c r="E154" s="89">
        <v>11.6</v>
      </c>
      <c r="F154" s="88" t="s">
        <v>29</v>
      </c>
      <c r="G154" s="89">
        <v>35.090000000000003</v>
      </c>
      <c r="H154" s="89">
        <v>40.073999999999998</v>
      </c>
      <c r="I154" s="89" t="s">
        <v>30</v>
      </c>
      <c r="J154" s="89">
        <v>1.6359999999999999</v>
      </c>
      <c r="K154" s="95">
        <f t="shared" si="55"/>
        <v>23.2</v>
      </c>
      <c r="L154" s="91">
        <v>107</v>
      </c>
      <c r="M154" s="91">
        <v>0.1226</v>
      </c>
      <c r="N154" s="91">
        <v>-1.0860000000000001</v>
      </c>
      <c r="O154" s="91"/>
      <c r="P154" s="91">
        <v>2568.67</v>
      </c>
      <c r="Q154">
        <f t="shared" si="56"/>
        <v>3.4097083135366089</v>
      </c>
      <c r="S154">
        <f t="shared" si="57"/>
        <v>3.5521051905366088</v>
      </c>
    </row>
    <row r="155" spans="1:36" hidden="1" x14ac:dyDescent="0.4">
      <c r="A155" s="87" t="s">
        <v>204</v>
      </c>
      <c r="B155" s="88" t="s">
        <v>168</v>
      </c>
      <c r="C155" s="89">
        <v>11.6</v>
      </c>
      <c r="D155" s="88" t="s">
        <v>35</v>
      </c>
      <c r="E155" s="89">
        <v>11.6</v>
      </c>
      <c r="F155" s="88" t="s">
        <v>29</v>
      </c>
      <c r="G155" s="89">
        <v>35.090000000000003</v>
      </c>
      <c r="H155" s="89">
        <v>39.020000000000003</v>
      </c>
      <c r="I155" s="89" t="s">
        <v>57</v>
      </c>
      <c r="J155" s="89">
        <v>2.69</v>
      </c>
      <c r="K155" s="95">
        <f t="shared" si="55"/>
        <v>23.2</v>
      </c>
      <c r="L155" s="90">
        <v>8714</v>
      </c>
      <c r="M155" s="90">
        <v>1</v>
      </c>
      <c r="N155" s="90">
        <v>-2.6469999999999998</v>
      </c>
      <c r="O155" s="90"/>
      <c r="P155" s="90">
        <v>9212</v>
      </c>
      <c r="Q155">
        <f t="shared" si="56"/>
        <v>3.9643539292921934</v>
      </c>
      <c r="S155">
        <f t="shared" si="57"/>
        <v>4.1067508062921938</v>
      </c>
    </row>
    <row r="156" spans="1:36" hidden="1" x14ac:dyDescent="0.4">
      <c r="A156" s="87" t="s">
        <v>205</v>
      </c>
      <c r="B156" s="88" t="s">
        <v>168</v>
      </c>
      <c r="C156" s="89">
        <v>11.6</v>
      </c>
      <c r="D156" s="88" t="s">
        <v>35</v>
      </c>
      <c r="E156" s="89">
        <v>11.6</v>
      </c>
      <c r="F156" s="88" t="s">
        <v>32</v>
      </c>
      <c r="G156" s="89">
        <v>35.090000000000003</v>
      </c>
      <c r="H156" s="89">
        <v>39.200000000000003</v>
      </c>
      <c r="I156" s="89" t="s">
        <v>30</v>
      </c>
      <c r="J156" s="89">
        <v>2.5099999999999998</v>
      </c>
      <c r="K156" s="95">
        <f t="shared" si="55"/>
        <v>23.2</v>
      </c>
      <c r="L156" s="90">
        <v>82.82</v>
      </c>
      <c r="M156" s="90">
        <v>0.24210000000000001</v>
      </c>
      <c r="N156" s="90">
        <v>-3.1</v>
      </c>
      <c r="O156" s="90"/>
      <c r="P156" s="90">
        <v>2731.67</v>
      </c>
      <c r="Q156">
        <f t="shared" si="56"/>
        <v>3.4364282331370894</v>
      </c>
      <c r="S156">
        <f t="shared" si="57"/>
        <v>3.5788251101370894</v>
      </c>
    </row>
    <row r="157" spans="1:36" hidden="1" x14ac:dyDescent="0.4">
      <c r="A157" s="87" t="s">
        <v>206</v>
      </c>
      <c r="B157" s="88" t="s">
        <v>168</v>
      </c>
      <c r="C157" s="89">
        <v>13.835000000000001</v>
      </c>
      <c r="D157" s="88" t="s">
        <v>35</v>
      </c>
      <c r="E157" s="89">
        <v>13.834</v>
      </c>
      <c r="F157" s="88" t="s">
        <v>32</v>
      </c>
      <c r="G157" s="89">
        <v>30.483000000000001</v>
      </c>
      <c r="H157" s="89">
        <v>39.338000000000001</v>
      </c>
      <c r="I157" s="89" t="s">
        <v>57</v>
      </c>
      <c r="J157" s="89">
        <v>2.5099999999999998</v>
      </c>
      <c r="K157" s="95">
        <f t="shared" si="55"/>
        <v>27.669</v>
      </c>
      <c r="L157" s="90">
        <v>150.69999999999999</v>
      </c>
      <c r="M157" s="90">
        <v>0.3982</v>
      </c>
      <c r="N157" s="90">
        <v>-0.88200000000000001</v>
      </c>
      <c r="O157" s="90"/>
      <c r="P157" s="90">
        <v>2124.67</v>
      </c>
      <c r="Q157">
        <f t="shared" si="56"/>
        <v>3.3272914857706422</v>
      </c>
      <c r="S157">
        <f t="shared" si="57"/>
        <v>3.4696883627706421</v>
      </c>
    </row>
    <row r="158" spans="1:36" hidden="1" x14ac:dyDescent="0.4">
      <c r="A158" s="87" t="s">
        <v>207</v>
      </c>
      <c r="B158" s="88" t="s">
        <v>168</v>
      </c>
      <c r="C158" s="89">
        <v>13.835000000000001</v>
      </c>
      <c r="D158" s="88" t="s">
        <v>35</v>
      </c>
      <c r="E158" s="89">
        <v>13.834</v>
      </c>
      <c r="F158" s="88" t="s">
        <v>32</v>
      </c>
      <c r="G158" s="89">
        <v>26.768000000000001</v>
      </c>
      <c r="H158" s="89">
        <v>43.069000000000003</v>
      </c>
      <c r="I158" s="89" t="s">
        <v>64</v>
      </c>
      <c r="J158" s="89">
        <v>2.4940000000000002</v>
      </c>
      <c r="K158" s="95">
        <f t="shared" si="55"/>
        <v>27.669</v>
      </c>
      <c r="L158" s="90">
        <v>106.4</v>
      </c>
      <c r="M158" s="90">
        <v>0.35220000000000001</v>
      </c>
      <c r="N158" s="90">
        <v>-2.2090000000000001</v>
      </c>
      <c r="O158" s="90"/>
      <c r="P158" s="90">
        <v>1442</v>
      </c>
      <c r="Q158">
        <f t="shared" si="56"/>
        <v>3.1589652603834102</v>
      </c>
      <c r="S158">
        <f t="shared" si="57"/>
        <v>3.3013621373834101</v>
      </c>
    </row>
    <row r="159" spans="1:36" hidden="1" x14ac:dyDescent="0.4">
      <c r="A159" s="87" t="s">
        <v>208</v>
      </c>
      <c r="B159" s="88" t="s">
        <v>168</v>
      </c>
      <c r="C159" s="89">
        <v>15.978999999999999</v>
      </c>
      <c r="D159" s="88" t="s">
        <v>35</v>
      </c>
      <c r="E159" s="89">
        <v>15.978</v>
      </c>
      <c r="F159" s="88" t="s">
        <v>32</v>
      </c>
      <c r="G159" s="89">
        <v>35.090000000000003</v>
      </c>
      <c r="H159" s="89">
        <v>29.824999999999999</v>
      </c>
      <c r="I159" s="89" t="s">
        <v>64</v>
      </c>
      <c r="J159" s="89">
        <v>3.1280000000000001</v>
      </c>
      <c r="K159" s="95">
        <f t="shared" si="55"/>
        <v>31.957000000000001</v>
      </c>
      <c r="L159" s="90">
        <v>121.3</v>
      </c>
      <c r="M159" s="90">
        <v>0.41149999999999998</v>
      </c>
      <c r="N159" s="90">
        <v>-3.9390000000000001</v>
      </c>
      <c r="O159" s="90"/>
      <c r="P159" s="90">
        <v>3949.33</v>
      </c>
      <c r="Q159">
        <f t="shared" si="56"/>
        <v>3.5965234242382356</v>
      </c>
      <c r="S159">
        <f t="shared" si="57"/>
        <v>3.7389203012382355</v>
      </c>
    </row>
    <row r="160" spans="1:36" hidden="1" x14ac:dyDescent="0.4">
      <c r="A160" s="87" t="s">
        <v>209</v>
      </c>
      <c r="B160" s="88" t="s">
        <v>168</v>
      </c>
      <c r="C160" s="89">
        <v>22.613</v>
      </c>
      <c r="D160" s="88" t="s">
        <v>35</v>
      </c>
      <c r="E160" s="89">
        <v>22.613</v>
      </c>
      <c r="F160" s="88" t="s">
        <v>32</v>
      </c>
      <c r="G160" s="89">
        <v>30.483000000000001</v>
      </c>
      <c r="H160" s="89">
        <v>22.655000000000001</v>
      </c>
      <c r="I160" s="89" t="s">
        <v>30</v>
      </c>
      <c r="J160" s="89">
        <v>1.6359999999999999</v>
      </c>
      <c r="K160" s="95">
        <f t="shared" si="55"/>
        <v>45.225999999999999</v>
      </c>
      <c r="L160" s="90">
        <v>107.8</v>
      </c>
      <c r="M160" s="90">
        <v>0.25140000000000001</v>
      </c>
      <c r="N160" s="90">
        <v>-2.4350000000000001</v>
      </c>
      <c r="O160" s="90"/>
      <c r="P160" s="90">
        <v>5654</v>
      </c>
      <c r="Q160">
        <f t="shared" si="56"/>
        <v>3.7523558041535008</v>
      </c>
      <c r="S160">
        <f t="shared" si="57"/>
        <v>3.8947526811535007</v>
      </c>
    </row>
    <row r="161" spans="1:19" hidden="1" x14ac:dyDescent="0.4">
      <c r="A161" s="87" t="s">
        <v>210</v>
      </c>
      <c r="B161" s="88" t="s">
        <v>31</v>
      </c>
      <c r="C161" s="89">
        <v>33.918999999999997</v>
      </c>
      <c r="D161" s="88" t="s">
        <v>34</v>
      </c>
      <c r="E161" s="89">
        <v>11.307</v>
      </c>
      <c r="F161" s="88" t="s">
        <v>29</v>
      </c>
      <c r="G161" s="89">
        <v>26.768000000000001</v>
      </c>
      <c r="H161" s="89">
        <v>24.878</v>
      </c>
      <c r="I161" s="89" t="s">
        <v>64</v>
      </c>
      <c r="J161" s="89">
        <v>3.1280000000000001</v>
      </c>
      <c r="K161" s="95">
        <f t="shared" si="55"/>
        <v>45.225999999999999</v>
      </c>
      <c r="L161" s="90">
        <v>100.5</v>
      </c>
      <c r="M161" s="90">
        <v>0.41420000000000001</v>
      </c>
      <c r="N161" s="90">
        <v>-1.369</v>
      </c>
      <c r="O161" s="90"/>
      <c r="P161" s="90">
        <v>17900</v>
      </c>
      <c r="Q161">
        <f t="shared" si="56"/>
        <v>4.2528530309798933</v>
      </c>
      <c r="S161">
        <f t="shared" si="57"/>
        <v>4.3952499079798937</v>
      </c>
    </row>
    <row r="162" spans="1:19" hidden="1" x14ac:dyDescent="0.4">
      <c r="A162" s="87" t="s">
        <v>211</v>
      </c>
      <c r="B162" s="88" t="s">
        <v>168</v>
      </c>
      <c r="C162" s="89">
        <v>15.978999999999999</v>
      </c>
      <c r="D162" s="88" t="s">
        <v>35</v>
      </c>
      <c r="E162" s="89">
        <v>15.978</v>
      </c>
      <c r="F162" s="88" t="s">
        <v>32</v>
      </c>
      <c r="G162" s="89">
        <v>30.483000000000001</v>
      </c>
      <c r="H162" s="89">
        <v>35.066000000000003</v>
      </c>
      <c r="I162" s="89" t="s">
        <v>64</v>
      </c>
      <c r="J162" s="89">
        <v>2.4940000000000002</v>
      </c>
      <c r="K162" s="95">
        <f t="shared" si="55"/>
        <v>31.957000000000001</v>
      </c>
      <c r="L162" s="90">
        <v>109.4</v>
      </c>
      <c r="M162" s="90">
        <v>0.33929999999999999</v>
      </c>
      <c r="N162" s="90">
        <v>-3.2709999999999999</v>
      </c>
      <c r="O162" s="90"/>
      <c r="P162" s="90">
        <v>4852.67</v>
      </c>
      <c r="Q162">
        <f t="shared" si="56"/>
        <v>3.6859807586443658</v>
      </c>
      <c r="S162">
        <f t="shared" si="57"/>
        <v>3.8283776356443657</v>
      </c>
    </row>
    <row r="163" spans="1:19" hidden="1" x14ac:dyDescent="0.4">
      <c r="A163" s="87" t="s">
        <v>212</v>
      </c>
      <c r="B163" s="88" t="s">
        <v>168</v>
      </c>
      <c r="C163" s="89">
        <v>28.402000000000001</v>
      </c>
      <c r="D163" s="88" t="s">
        <v>35</v>
      </c>
      <c r="E163" s="89">
        <v>9.4670000000000005</v>
      </c>
      <c r="F163" s="88" t="s">
        <v>29</v>
      </c>
      <c r="G163" s="89">
        <v>30.483000000000001</v>
      </c>
      <c r="H163" s="89">
        <v>28.52</v>
      </c>
      <c r="I163" s="89" t="s">
        <v>30</v>
      </c>
      <c r="J163" s="89">
        <v>3.1280000000000001</v>
      </c>
      <c r="K163" s="95">
        <f t="shared" si="55"/>
        <v>37.869</v>
      </c>
      <c r="L163" s="90">
        <v>75.040000000000006</v>
      </c>
      <c r="M163" s="90">
        <v>0.2036</v>
      </c>
      <c r="N163" s="90">
        <v>-1.274</v>
      </c>
      <c r="O163" s="90"/>
      <c r="P163" s="90">
        <v>1508</v>
      </c>
      <c r="Q163">
        <f t="shared" si="56"/>
        <v>3.1784013415337551</v>
      </c>
      <c r="S163">
        <f t="shared" si="57"/>
        <v>3.320798218533755</v>
      </c>
    </row>
    <row r="164" spans="1:19" hidden="1" x14ac:dyDescent="0.4">
      <c r="A164" s="87" t="s">
        <v>213</v>
      </c>
      <c r="B164" s="88" t="s">
        <v>33</v>
      </c>
      <c r="C164" s="89">
        <v>11.6</v>
      </c>
      <c r="D164" s="88" t="s">
        <v>35</v>
      </c>
      <c r="E164" s="89">
        <v>11.6</v>
      </c>
      <c r="F164" s="88" t="s">
        <v>29</v>
      </c>
      <c r="G164" s="89">
        <v>35.090000000000003</v>
      </c>
      <c r="H164" s="89">
        <v>40.073999999999998</v>
      </c>
      <c r="I164" s="89" t="s">
        <v>30</v>
      </c>
      <c r="J164" s="89">
        <v>1.6359999999999999</v>
      </c>
      <c r="K164" s="95">
        <f t="shared" si="55"/>
        <v>23.2</v>
      </c>
      <c r="L164" s="90">
        <v>108.7</v>
      </c>
      <c r="M164" s="90">
        <v>0.1739</v>
      </c>
      <c r="N164" s="90">
        <v>-2.0699999999999998</v>
      </c>
      <c r="O164" s="90"/>
      <c r="P164" s="90">
        <v>1793.33</v>
      </c>
      <c r="Q164">
        <f t="shared" si="56"/>
        <v>3.2536602137071626</v>
      </c>
      <c r="S164">
        <f t="shared" si="57"/>
        <v>3.3960570907071626</v>
      </c>
    </row>
    <row r="165" spans="1:19" hidden="1" x14ac:dyDescent="0.4">
      <c r="A165" s="87" t="s">
        <v>214</v>
      </c>
      <c r="B165" s="88" t="s">
        <v>28</v>
      </c>
      <c r="C165" s="89">
        <v>11.305999999999999</v>
      </c>
      <c r="D165" s="88" t="s">
        <v>34</v>
      </c>
      <c r="E165" s="89">
        <v>33.92</v>
      </c>
      <c r="F165" s="88" t="s">
        <v>32</v>
      </c>
      <c r="G165" s="89">
        <v>12.5</v>
      </c>
      <c r="H165" s="89">
        <v>39.78</v>
      </c>
      <c r="I165" s="89" t="s">
        <v>57</v>
      </c>
      <c r="J165" s="89">
        <v>2.4940000000000002</v>
      </c>
      <c r="K165" s="95">
        <f t="shared" si="55"/>
        <v>45.225999999999999</v>
      </c>
      <c r="L165" s="90">
        <v>2502</v>
      </c>
      <c r="M165" s="90">
        <v>1</v>
      </c>
      <c r="N165" s="90">
        <v>4.9249999999999998</v>
      </c>
      <c r="O165" s="90"/>
      <c r="P165" s="90">
        <v>876.5</v>
      </c>
      <c r="Q165">
        <f t="shared" si="56"/>
        <v>2.9427519204298136</v>
      </c>
      <c r="S165">
        <f t="shared" si="57"/>
        <v>3.0851487974298135</v>
      </c>
    </row>
    <row r="166" spans="1:19" hidden="1" x14ac:dyDescent="0.4">
      <c r="A166" s="87" t="s">
        <v>215</v>
      </c>
      <c r="B166" s="88" t="s">
        <v>35</v>
      </c>
      <c r="C166" s="89">
        <v>11.38</v>
      </c>
      <c r="D166" s="88" t="s">
        <v>35</v>
      </c>
      <c r="E166" s="89">
        <v>21.12</v>
      </c>
      <c r="F166" s="88" t="s">
        <v>32</v>
      </c>
      <c r="G166" s="89">
        <v>25</v>
      </c>
      <c r="H166" s="89">
        <v>38.5</v>
      </c>
      <c r="I166" s="89" t="s">
        <v>30</v>
      </c>
      <c r="J166" s="89">
        <v>4</v>
      </c>
      <c r="K166" s="95">
        <f t="shared" si="55"/>
        <v>32.5</v>
      </c>
      <c r="L166" s="90">
        <v>72.27</v>
      </c>
      <c r="M166" s="90">
        <v>0.24299999999999999</v>
      </c>
      <c r="N166" s="90">
        <v>-2.7629999999999999</v>
      </c>
      <c r="O166" s="90"/>
      <c r="P166" s="93">
        <v>5377.67</v>
      </c>
      <c r="Q166" s="6">
        <f t="shared" si="56"/>
        <v>3.7305941482821772</v>
      </c>
      <c r="R166">
        <f>Q113-Q166</f>
        <v>0.14239687709652404</v>
      </c>
      <c r="S166">
        <f t="shared" si="57"/>
        <v>3.8729910252821771</v>
      </c>
    </row>
    <row r="167" spans="1:19" hidden="1" x14ac:dyDescent="0.4">
      <c r="A167" s="87" t="s">
        <v>216</v>
      </c>
      <c r="B167" s="88" t="s">
        <v>35</v>
      </c>
      <c r="C167" s="89">
        <v>25</v>
      </c>
      <c r="D167" s="88" t="s">
        <v>35</v>
      </c>
      <c r="E167" s="89">
        <v>25</v>
      </c>
      <c r="F167" s="88" t="s">
        <v>32</v>
      </c>
      <c r="G167" s="89">
        <v>10</v>
      </c>
      <c r="H167" s="89">
        <v>38.5</v>
      </c>
      <c r="I167" s="89" t="s">
        <v>30</v>
      </c>
      <c r="J167" s="89">
        <v>1.5</v>
      </c>
      <c r="K167" s="95">
        <f t="shared" si="55"/>
        <v>50</v>
      </c>
      <c r="L167" s="90">
        <v>93.8</v>
      </c>
      <c r="M167" s="90">
        <v>0.1091</v>
      </c>
      <c r="N167" s="90">
        <v>-2.3879999999999999</v>
      </c>
      <c r="O167" s="90"/>
      <c r="P167" s="94">
        <v>231133.3</v>
      </c>
      <c r="Q167">
        <f t="shared" si="56"/>
        <v>5.363862519968106</v>
      </c>
      <c r="S167">
        <f t="shared" si="57"/>
        <v>5.5062593969681064</v>
      </c>
    </row>
    <row r="168" spans="1:19" hidden="1" x14ac:dyDescent="0.4">
      <c r="A168" s="90"/>
      <c r="B168" s="90" t="s">
        <v>27</v>
      </c>
      <c r="C168" s="90"/>
      <c r="D168" s="90"/>
      <c r="E168" s="90"/>
      <c r="F168" s="90"/>
      <c r="G168" s="90"/>
      <c r="H168" s="90"/>
      <c r="I168" s="90"/>
      <c r="J168" s="90"/>
      <c r="K168" s="90"/>
      <c r="L168" s="90">
        <v>2725</v>
      </c>
      <c r="M168" s="90">
        <v>1</v>
      </c>
      <c r="N168" s="90">
        <v>-3.819</v>
      </c>
      <c r="O168" s="90"/>
      <c r="P168" s="90">
        <v>1288.07</v>
      </c>
      <c r="Q168">
        <f t="shared" si="56"/>
        <v>3.1099394653434045</v>
      </c>
      <c r="S168">
        <f t="shared" si="57"/>
        <v>3.2523363423434044</v>
      </c>
    </row>
    <row r="169" spans="1:19" hidden="1" x14ac:dyDescent="0.4"/>
    <row r="170" spans="1:19" hidden="1" x14ac:dyDescent="0.4"/>
    <row r="171" spans="1:19" hidden="1" x14ac:dyDescent="0.4"/>
    <row r="172" spans="1:19" hidden="1" x14ac:dyDescent="0.4"/>
    <row r="173" spans="1:19" hidden="1" x14ac:dyDescent="0.4"/>
    <row r="174" spans="1:19" hidden="1" x14ac:dyDescent="0.4"/>
    <row r="175" spans="1:19" hidden="1" x14ac:dyDescent="0.4"/>
    <row r="176" spans="1:19" hidden="1" x14ac:dyDescent="0.4"/>
    <row r="177" spans="1:52" hidden="1" x14ac:dyDescent="0.4"/>
    <row r="178" spans="1:52" hidden="1" x14ac:dyDescent="0.4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4"/>
      <c r="T178" s="84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</row>
    <row r="179" spans="1:52" hidden="1" x14ac:dyDescent="0.4">
      <c r="R179" s="50"/>
      <c r="S179"/>
      <c r="T179"/>
      <c r="U179">
        <f t="shared" ref="U179:U198" si="58">T179/3.09674465364152</f>
        <v>0</v>
      </c>
    </row>
    <row r="180" spans="1:52" hidden="1" x14ac:dyDescent="0.4">
      <c r="K180" s="2"/>
      <c r="R180" s="50"/>
      <c r="S180"/>
      <c r="T180"/>
      <c r="U180">
        <f t="shared" si="58"/>
        <v>0</v>
      </c>
    </row>
    <row r="181" spans="1:52" hidden="1" x14ac:dyDescent="0.4">
      <c r="R181" s="50"/>
      <c r="S181"/>
      <c r="T181"/>
      <c r="U181">
        <f t="shared" si="58"/>
        <v>0</v>
      </c>
    </row>
    <row r="182" spans="1:52" hidden="1" x14ac:dyDescent="0.4">
      <c r="R182" s="50"/>
      <c r="S182"/>
      <c r="T182"/>
      <c r="U182">
        <f t="shared" si="58"/>
        <v>0</v>
      </c>
    </row>
    <row r="183" spans="1:52" hidden="1" x14ac:dyDescent="0.4">
      <c r="R183" s="50"/>
      <c r="S183"/>
      <c r="T183"/>
      <c r="U183">
        <f t="shared" si="58"/>
        <v>0</v>
      </c>
    </row>
    <row r="184" spans="1:52" hidden="1" x14ac:dyDescent="0.4">
      <c r="R184" s="50"/>
      <c r="S184"/>
      <c r="T184"/>
      <c r="U184">
        <f t="shared" si="58"/>
        <v>0</v>
      </c>
    </row>
    <row r="185" spans="1:52" hidden="1" x14ac:dyDescent="0.4">
      <c r="R185" s="51"/>
      <c r="S185"/>
      <c r="T185"/>
      <c r="U185">
        <f t="shared" si="58"/>
        <v>0</v>
      </c>
    </row>
    <row r="186" spans="1:52" hidden="1" x14ac:dyDescent="0.4">
      <c r="R186" s="51"/>
      <c r="S186"/>
      <c r="T186"/>
      <c r="U186">
        <f t="shared" si="58"/>
        <v>0</v>
      </c>
      <c r="AJ186" s="40">
        <v>1</v>
      </c>
      <c r="AK186" s="40">
        <v>2</v>
      </c>
      <c r="AL186" s="40">
        <v>3</v>
      </c>
      <c r="AM186" s="40">
        <v>4</v>
      </c>
      <c r="AN186" s="40">
        <v>5</v>
      </c>
      <c r="AO186" s="40">
        <v>6</v>
      </c>
      <c r="AP186" s="40">
        <v>7</v>
      </c>
      <c r="AQ186" s="40">
        <v>8</v>
      </c>
      <c r="AR186" s="40">
        <v>9</v>
      </c>
      <c r="AS186" s="40">
        <v>10</v>
      </c>
      <c r="AT186" s="40">
        <v>11</v>
      </c>
      <c r="AU186" s="40">
        <v>12</v>
      </c>
    </row>
    <row r="187" spans="1:52" hidden="1" x14ac:dyDescent="0.4">
      <c r="R187" s="52"/>
      <c r="S187"/>
      <c r="T187"/>
      <c r="U187">
        <f t="shared" si="58"/>
        <v>0</v>
      </c>
      <c r="AJ187" s="40">
        <v>228.4</v>
      </c>
      <c r="AK187" s="40">
        <v>714.4</v>
      </c>
      <c r="AL187" s="40">
        <v>2884</v>
      </c>
      <c r="AM187" s="40">
        <v>570.20000000000005</v>
      </c>
      <c r="AN187" s="40">
        <v>1266</v>
      </c>
      <c r="AO187" s="40">
        <v>9364</v>
      </c>
      <c r="AP187" s="40">
        <v>3793</v>
      </c>
      <c r="AQ187" s="40">
        <v>771.3</v>
      </c>
      <c r="AR187" s="40">
        <v>2009</v>
      </c>
      <c r="AS187" s="40">
        <v>1899</v>
      </c>
      <c r="AT187" s="40">
        <v>14470</v>
      </c>
      <c r="AU187" s="40">
        <v>1243</v>
      </c>
    </row>
    <row r="188" spans="1:52" hidden="1" x14ac:dyDescent="0.4">
      <c r="R188" s="52"/>
      <c r="S188"/>
      <c r="T188"/>
      <c r="U188">
        <f t="shared" si="58"/>
        <v>0</v>
      </c>
      <c r="AJ188" s="40">
        <v>771</v>
      </c>
      <c r="AK188" s="40">
        <v>523.20000000000005</v>
      </c>
      <c r="AL188" s="40">
        <v>653.1</v>
      </c>
      <c r="AM188" s="40">
        <v>464.6</v>
      </c>
      <c r="AN188" s="40">
        <v>1304</v>
      </c>
      <c r="AO188" s="40">
        <v>2359</v>
      </c>
      <c r="AP188" s="40">
        <v>1849</v>
      </c>
      <c r="AQ188" s="40">
        <v>620</v>
      </c>
      <c r="AR188" s="40">
        <v>1040</v>
      </c>
      <c r="AS188" s="40">
        <v>1208</v>
      </c>
      <c r="AT188" s="40">
        <v>8704</v>
      </c>
      <c r="AU188" s="40">
        <v>1491</v>
      </c>
    </row>
    <row r="189" spans="1:52" hidden="1" x14ac:dyDescent="0.4">
      <c r="R189" s="52"/>
      <c r="S189"/>
      <c r="T189"/>
      <c r="U189">
        <f t="shared" si="58"/>
        <v>0</v>
      </c>
      <c r="AJ189" s="40">
        <v>519.4</v>
      </c>
      <c r="AK189" s="40">
        <v>300.3</v>
      </c>
      <c r="AL189" s="40">
        <v>501.8</v>
      </c>
      <c r="AM189" s="40">
        <v>275.39999999999998</v>
      </c>
      <c r="AN189" s="40">
        <v>675</v>
      </c>
      <c r="AO189" s="40">
        <v>3113</v>
      </c>
      <c r="AP189" s="40">
        <v>2424</v>
      </c>
      <c r="AQ189" s="40">
        <v>513.4</v>
      </c>
      <c r="AR189" s="40">
        <v>661.6</v>
      </c>
      <c r="AS189" s="40">
        <v>688.8</v>
      </c>
      <c r="AT189" s="40">
        <v>8759</v>
      </c>
      <c r="AU189" s="40">
        <v>778</v>
      </c>
    </row>
    <row r="190" spans="1:52" hidden="1" x14ac:dyDescent="0.4">
      <c r="R190" s="52"/>
      <c r="S190"/>
      <c r="T190"/>
      <c r="U190">
        <f t="shared" si="58"/>
        <v>0</v>
      </c>
      <c r="AJ190" s="40">
        <f t="shared" ref="AJ190:AU190" si="59">AJ187+AJ188+AJ189</f>
        <v>1518.8</v>
      </c>
      <c r="AK190" s="40">
        <f t="shared" si="59"/>
        <v>1537.8999999999999</v>
      </c>
      <c r="AL190" s="40">
        <f t="shared" si="59"/>
        <v>4038.9</v>
      </c>
      <c r="AM190" s="40">
        <f t="shared" si="59"/>
        <v>1310.2000000000003</v>
      </c>
      <c r="AN190" s="40">
        <f t="shared" si="59"/>
        <v>3245</v>
      </c>
      <c r="AO190" s="40">
        <f t="shared" si="59"/>
        <v>14836</v>
      </c>
      <c r="AP190" s="40">
        <f t="shared" si="59"/>
        <v>8066</v>
      </c>
      <c r="AQ190" s="40">
        <f t="shared" si="59"/>
        <v>1904.6999999999998</v>
      </c>
      <c r="AR190" s="40">
        <f t="shared" si="59"/>
        <v>3710.6</v>
      </c>
      <c r="AS190" s="40">
        <f t="shared" si="59"/>
        <v>3795.8</v>
      </c>
      <c r="AT190" s="40">
        <f t="shared" si="59"/>
        <v>31933</v>
      </c>
      <c r="AU190" s="40">
        <f t="shared" si="59"/>
        <v>3512</v>
      </c>
    </row>
    <row r="191" spans="1:52" hidden="1" x14ac:dyDescent="0.4">
      <c r="R191" s="52"/>
      <c r="S191"/>
      <c r="T191"/>
      <c r="U191">
        <f t="shared" si="58"/>
        <v>0</v>
      </c>
      <c r="AJ191" s="40">
        <f t="shared" ref="AJ191:AU191" si="60">AJ190/3</f>
        <v>506.26666666666665</v>
      </c>
      <c r="AK191" s="40">
        <f t="shared" si="60"/>
        <v>512.63333333333333</v>
      </c>
      <c r="AL191" s="40">
        <f t="shared" si="60"/>
        <v>1346.3</v>
      </c>
      <c r="AM191" s="40">
        <f t="shared" si="60"/>
        <v>436.73333333333341</v>
      </c>
      <c r="AN191" s="40">
        <f t="shared" si="60"/>
        <v>1081.6666666666667</v>
      </c>
      <c r="AO191" s="40">
        <f t="shared" si="60"/>
        <v>4945.333333333333</v>
      </c>
      <c r="AP191" s="40">
        <f t="shared" si="60"/>
        <v>2688.6666666666665</v>
      </c>
      <c r="AQ191" s="40">
        <f t="shared" si="60"/>
        <v>634.9</v>
      </c>
      <c r="AR191" s="40">
        <f t="shared" si="60"/>
        <v>1236.8666666666666</v>
      </c>
      <c r="AS191" s="40">
        <f t="shared" si="60"/>
        <v>1265.2666666666667</v>
      </c>
      <c r="AT191" s="40">
        <f t="shared" si="60"/>
        <v>10644.333333333334</v>
      </c>
      <c r="AU191" s="40">
        <f t="shared" si="60"/>
        <v>1170.6666666666667</v>
      </c>
    </row>
    <row r="192" spans="1:52" hidden="1" x14ac:dyDescent="0.4">
      <c r="R192" s="51"/>
      <c r="S192"/>
      <c r="T192"/>
      <c r="U192">
        <f t="shared" si="58"/>
        <v>0</v>
      </c>
      <c r="AJ192">
        <v>506.26666666666699</v>
      </c>
      <c r="AK192">
        <v>512.63333333333298</v>
      </c>
      <c r="AL192">
        <v>1346.3</v>
      </c>
      <c r="AM192">
        <v>436.73333333333301</v>
      </c>
      <c r="AN192">
        <v>1081.6666666666699</v>
      </c>
      <c r="AO192">
        <v>4945.3333333333303</v>
      </c>
      <c r="AP192">
        <v>2688.6666666666702</v>
      </c>
      <c r="AQ192">
        <v>634.9</v>
      </c>
      <c r="AR192">
        <v>1236.86666666667</v>
      </c>
      <c r="AS192">
        <v>1265.2666666666701</v>
      </c>
      <c r="AT192">
        <v>10644.333333333299</v>
      </c>
      <c r="AU192">
        <v>1170.6666666666699</v>
      </c>
    </row>
    <row r="193" spans="18:47" hidden="1" x14ac:dyDescent="0.4">
      <c r="R193" s="53"/>
      <c r="S193"/>
      <c r="T193"/>
      <c r="U193">
        <f t="shared" si="58"/>
        <v>0</v>
      </c>
    </row>
    <row r="194" spans="18:47" hidden="1" x14ac:dyDescent="0.4">
      <c r="R194" s="53"/>
      <c r="S194"/>
      <c r="T194"/>
      <c r="U194">
        <f t="shared" si="58"/>
        <v>0</v>
      </c>
    </row>
    <row r="195" spans="18:47" hidden="1" x14ac:dyDescent="0.4">
      <c r="R195" s="53"/>
      <c r="S195"/>
      <c r="T195"/>
      <c r="U195">
        <f t="shared" si="58"/>
        <v>0</v>
      </c>
      <c r="AJ195" s="40">
        <v>173.8</v>
      </c>
      <c r="AK195" s="40">
        <v>260.39999999999998</v>
      </c>
      <c r="AL195" s="40">
        <v>944.2</v>
      </c>
      <c r="AM195" s="40">
        <v>1236</v>
      </c>
      <c r="AN195" s="40">
        <v>2414</v>
      </c>
      <c r="AO195" s="40">
        <v>3409</v>
      </c>
      <c r="AP195" s="40">
        <v>929.7</v>
      </c>
      <c r="AQ195" s="40">
        <v>774.6</v>
      </c>
      <c r="AR195" s="40">
        <v>537.79999999999995</v>
      </c>
      <c r="AS195" s="40">
        <v>1301</v>
      </c>
      <c r="AT195" s="40">
        <v>3264</v>
      </c>
      <c r="AU195" s="40">
        <v>830.6</v>
      </c>
    </row>
    <row r="196" spans="18:47" hidden="1" x14ac:dyDescent="0.4">
      <c r="R196" s="51"/>
      <c r="S196"/>
      <c r="T196"/>
      <c r="U196">
        <f t="shared" si="58"/>
        <v>0</v>
      </c>
      <c r="AJ196" s="40">
        <v>74.48</v>
      </c>
      <c r="AK196" s="40">
        <v>272.3</v>
      </c>
      <c r="AL196" s="40">
        <v>698.1</v>
      </c>
      <c r="AM196" s="40">
        <v>1276</v>
      </c>
      <c r="AN196" s="40">
        <v>8023</v>
      </c>
      <c r="AO196" s="40">
        <v>1651</v>
      </c>
      <c r="AP196" s="40">
        <v>7776</v>
      </c>
      <c r="AQ196" s="40">
        <v>1436</v>
      </c>
      <c r="AR196" s="40">
        <v>1201</v>
      </c>
      <c r="AS196" s="40">
        <v>1302</v>
      </c>
      <c r="AT196" s="40">
        <v>3228</v>
      </c>
      <c r="AU196" s="40">
        <v>4681</v>
      </c>
    </row>
    <row r="197" spans="18:47" hidden="1" x14ac:dyDescent="0.4">
      <c r="R197" s="53"/>
      <c r="S197"/>
      <c r="T197"/>
      <c r="U197">
        <f t="shared" si="58"/>
        <v>0</v>
      </c>
      <c r="AJ197" s="40">
        <v>103.9</v>
      </c>
      <c r="AK197" s="40">
        <v>503.6</v>
      </c>
      <c r="AL197" s="40">
        <v>623.70000000000005</v>
      </c>
      <c r="AM197" s="40">
        <v>537.6</v>
      </c>
      <c r="AN197" s="40">
        <v>3175</v>
      </c>
      <c r="AO197" s="40">
        <v>1916</v>
      </c>
      <c r="AP197" s="40">
        <v>1637</v>
      </c>
      <c r="AQ197" s="40">
        <v>1044</v>
      </c>
      <c r="AR197" s="40">
        <v>1183</v>
      </c>
      <c r="AS197" s="40">
        <v>1302</v>
      </c>
      <c r="AT197" s="40">
        <v>1869</v>
      </c>
      <c r="AU197" s="40">
        <v>2609</v>
      </c>
    </row>
    <row r="198" spans="18:47" hidden="1" x14ac:dyDescent="0.4">
      <c r="R198" s="54"/>
      <c r="S198"/>
      <c r="T198"/>
      <c r="U198">
        <f t="shared" si="58"/>
        <v>0</v>
      </c>
      <c r="AJ198">
        <f t="shared" ref="AJ198:AU198" si="61">AJ195+AJ196+AJ197</f>
        <v>352.18000000000006</v>
      </c>
      <c r="AK198">
        <f t="shared" si="61"/>
        <v>1036.3000000000002</v>
      </c>
      <c r="AL198">
        <f t="shared" si="61"/>
        <v>2266</v>
      </c>
      <c r="AM198">
        <f t="shared" si="61"/>
        <v>3049.6</v>
      </c>
      <c r="AN198">
        <f t="shared" si="61"/>
        <v>13612</v>
      </c>
      <c r="AO198">
        <f t="shared" si="61"/>
        <v>6976</v>
      </c>
      <c r="AP198">
        <f t="shared" si="61"/>
        <v>10342.700000000001</v>
      </c>
      <c r="AQ198">
        <f t="shared" si="61"/>
        <v>3254.6</v>
      </c>
      <c r="AR198">
        <f t="shared" si="61"/>
        <v>2921.8</v>
      </c>
      <c r="AS198">
        <f t="shared" si="61"/>
        <v>3905</v>
      </c>
      <c r="AT198">
        <f t="shared" si="61"/>
        <v>8361</v>
      </c>
      <c r="AU198">
        <f t="shared" si="61"/>
        <v>8120.6</v>
      </c>
    </row>
    <row r="199" spans="18:47" hidden="1" x14ac:dyDescent="0.4">
      <c r="R199" s="54"/>
      <c r="S199"/>
      <c r="T199"/>
      <c r="AJ199">
        <f t="shared" ref="AJ199:AU199" si="62">AJ198/3</f>
        <v>117.39333333333336</v>
      </c>
      <c r="AK199">
        <f t="shared" si="62"/>
        <v>345.43333333333339</v>
      </c>
      <c r="AL199">
        <f t="shared" si="62"/>
        <v>755.33333333333337</v>
      </c>
      <c r="AM199">
        <f t="shared" si="62"/>
        <v>1016.5333333333333</v>
      </c>
      <c r="AN199">
        <f t="shared" si="62"/>
        <v>4537.333333333333</v>
      </c>
      <c r="AO199">
        <f t="shared" si="62"/>
        <v>2325.3333333333335</v>
      </c>
      <c r="AP199">
        <f t="shared" si="62"/>
        <v>3447.5666666666671</v>
      </c>
      <c r="AQ199">
        <f t="shared" si="62"/>
        <v>1084.8666666666666</v>
      </c>
      <c r="AR199">
        <f t="shared" si="62"/>
        <v>973.93333333333339</v>
      </c>
      <c r="AS199">
        <f t="shared" si="62"/>
        <v>1301.6666666666667</v>
      </c>
      <c r="AT199">
        <f t="shared" si="62"/>
        <v>2787</v>
      </c>
      <c r="AU199">
        <f t="shared" si="62"/>
        <v>2706.8666666666668</v>
      </c>
    </row>
    <row r="200" spans="18:47" hidden="1" x14ac:dyDescent="0.4">
      <c r="R200" s="54"/>
      <c r="S200"/>
      <c r="T200"/>
      <c r="U200">
        <f t="shared" ref="U200:U211" si="63">T200/3.09674465364152</f>
        <v>0</v>
      </c>
      <c r="AJ200">
        <v>117.393333333333</v>
      </c>
      <c r="AK200">
        <v>345.433333333333</v>
      </c>
      <c r="AL200">
        <v>755.33333333333303</v>
      </c>
      <c r="AM200">
        <v>1016.53333333333</v>
      </c>
      <c r="AN200">
        <v>4537.3333333333303</v>
      </c>
      <c r="AO200">
        <v>2325.3333333333298</v>
      </c>
      <c r="AP200">
        <v>3447.5666666666698</v>
      </c>
      <c r="AQ200">
        <v>1084.86666666667</v>
      </c>
      <c r="AR200">
        <v>973.93333333333305</v>
      </c>
      <c r="AS200">
        <v>1301.6666666666699</v>
      </c>
      <c r="AT200">
        <v>2787</v>
      </c>
      <c r="AU200">
        <v>2706.86666666667</v>
      </c>
    </row>
    <row r="201" spans="18:47" hidden="1" x14ac:dyDescent="0.4">
      <c r="R201" s="51"/>
      <c r="S201"/>
      <c r="T201"/>
      <c r="U201">
        <f t="shared" si="63"/>
        <v>0</v>
      </c>
    </row>
    <row r="202" spans="18:47" hidden="1" x14ac:dyDescent="0.4">
      <c r="R202" s="55"/>
      <c r="S202"/>
      <c r="T202"/>
      <c r="U202">
        <f t="shared" si="63"/>
        <v>0</v>
      </c>
    </row>
    <row r="203" spans="18:47" hidden="1" x14ac:dyDescent="0.4">
      <c r="R203" s="80"/>
      <c r="S203"/>
      <c r="T203"/>
      <c r="U203">
        <f t="shared" si="63"/>
        <v>0</v>
      </c>
    </row>
    <row r="204" spans="18:47" hidden="1" x14ac:dyDescent="0.4">
      <c r="R204" s="80"/>
      <c r="S204"/>
      <c r="T204"/>
      <c r="U204">
        <f t="shared" si="63"/>
        <v>0</v>
      </c>
    </row>
    <row r="205" spans="18:47" hidden="1" x14ac:dyDescent="0.4">
      <c r="R205" s="55"/>
      <c r="S205"/>
      <c r="T205"/>
      <c r="U205">
        <f t="shared" si="63"/>
        <v>0</v>
      </c>
    </row>
    <row r="206" spans="18:47" hidden="1" x14ac:dyDescent="0.4">
      <c r="R206" s="55"/>
      <c r="S206"/>
      <c r="T206"/>
      <c r="U206">
        <f t="shared" si="63"/>
        <v>0</v>
      </c>
    </row>
    <row r="207" spans="18:47" hidden="1" x14ac:dyDescent="0.4">
      <c r="R207" s="55"/>
      <c r="S207"/>
      <c r="T207"/>
      <c r="U207">
        <f t="shared" si="63"/>
        <v>0</v>
      </c>
    </row>
    <row r="208" spans="18:47" x14ac:dyDescent="0.4">
      <c r="R208" s="50"/>
      <c r="S208"/>
      <c r="T208"/>
      <c r="U208">
        <f t="shared" si="63"/>
        <v>0</v>
      </c>
    </row>
    <row r="209" spans="1:41" x14ac:dyDescent="0.4">
      <c r="R209" s="72"/>
      <c r="S209"/>
      <c r="T209"/>
      <c r="U209">
        <f t="shared" si="63"/>
        <v>0</v>
      </c>
    </row>
    <row r="210" spans="1:41" x14ac:dyDescent="0.4">
      <c r="B210" s="56" t="s">
        <v>141</v>
      </c>
      <c r="C210" s="56" t="s">
        <v>142</v>
      </c>
      <c r="D210" s="56" t="s">
        <v>143</v>
      </c>
      <c r="E210" s="56" t="s">
        <v>144</v>
      </c>
      <c r="F210" s="56" t="s">
        <v>4</v>
      </c>
      <c r="G210" s="56" t="s">
        <v>145</v>
      </c>
      <c r="H210" s="56" t="s">
        <v>146</v>
      </c>
      <c r="I210" s="56" t="s">
        <v>147</v>
      </c>
      <c r="J210" s="56" t="s">
        <v>148</v>
      </c>
      <c r="K210" s="56" t="s">
        <v>149</v>
      </c>
      <c r="L210" s="60" t="s">
        <v>10</v>
      </c>
      <c r="M210" s="60" t="s">
        <v>11</v>
      </c>
      <c r="N210" s="60" t="s">
        <v>12</v>
      </c>
      <c r="O210" s="60" t="s">
        <v>13</v>
      </c>
      <c r="P210" s="60" t="s">
        <v>14</v>
      </c>
      <c r="Q210" s="70" t="s">
        <v>15</v>
      </c>
      <c r="R210" s="70" t="s">
        <v>16</v>
      </c>
      <c r="S210" s="70" t="s">
        <v>17</v>
      </c>
      <c r="T210" s="70" t="s">
        <v>18</v>
      </c>
      <c r="U210" s="70" t="s">
        <v>19</v>
      </c>
      <c r="V210" s="60"/>
      <c r="W210" s="60"/>
      <c r="X210" s="60"/>
      <c r="AE210" s="60" t="s">
        <v>25</v>
      </c>
      <c r="AF210" s="85" t="s">
        <v>15</v>
      </c>
      <c r="AG210"/>
      <c r="AK210" s="98" t="s">
        <v>267</v>
      </c>
      <c r="AL210" s="99" t="s">
        <v>15</v>
      </c>
      <c r="AN210" s="100" t="s">
        <v>268</v>
      </c>
      <c r="AO210" s="101" t="s">
        <v>15</v>
      </c>
    </row>
    <row r="211" spans="1:41" x14ac:dyDescent="0.4">
      <c r="R211" s="72"/>
      <c r="S211"/>
      <c r="T211"/>
      <c r="U211"/>
    </row>
    <row r="212" spans="1:41" x14ac:dyDescent="0.4">
      <c r="A212" t="s">
        <v>202</v>
      </c>
      <c r="B212" t="s">
        <v>168</v>
      </c>
      <c r="C212">
        <v>32.5</v>
      </c>
      <c r="D212" t="s">
        <v>35</v>
      </c>
      <c r="E212">
        <v>13</v>
      </c>
      <c r="F212" t="s">
        <v>29</v>
      </c>
      <c r="G212">
        <v>24.5</v>
      </c>
      <c r="H212">
        <v>27</v>
      </c>
      <c r="I212" s="4" t="s">
        <v>30</v>
      </c>
      <c r="J212">
        <v>2.75</v>
      </c>
      <c r="P212" s="1">
        <v>158900</v>
      </c>
      <c r="Q212">
        <f>LOG10(P212)</f>
        <v>5.2011238972073794</v>
      </c>
      <c r="S212" s="1">
        <f>Q212+1.425131694</f>
        <v>6.6262555912073795</v>
      </c>
      <c r="T212" s="1">
        <f>S212-3.84709241853782</f>
        <v>2.7791631726695596</v>
      </c>
      <c r="U212" s="1">
        <f>T212/3.19243708</f>
        <v>0.87054595064080631</v>
      </c>
      <c r="Z212"/>
      <c r="AA212"/>
      <c r="AB212"/>
      <c r="AC212"/>
      <c r="AE212" s="1">
        <v>1086400</v>
      </c>
      <c r="AF212">
        <f>LOG10(AE212)</f>
        <v>6.0359897569364263</v>
      </c>
      <c r="AH212"/>
      <c r="AI212"/>
      <c r="AJ212"/>
      <c r="AK212">
        <v>68886.666666666701</v>
      </c>
      <c r="AL212">
        <f>LOG10(AK212)</f>
        <v>4.8381351703335485</v>
      </c>
      <c r="AN212">
        <v>282000</v>
      </c>
      <c r="AO212">
        <f>LOG10(AN212)</f>
        <v>5.4502491083193609</v>
      </c>
    </row>
    <row r="213" spans="1:41" x14ac:dyDescent="0.4">
      <c r="A213" t="s">
        <v>203</v>
      </c>
      <c r="B213" t="s">
        <v>33</v>
      </c>
      <c r="C213">
        <v>24</v>
      </c>
      <c r="D213" t="s">
        <v>35</v>
      </c>
      <c r="E213">
        <v>10.5</v>
      </c>
      <c r="F213" t="s">
        <v>29</v>
      </c>
      <c r="G213">
        <v>37</v>
      </c>
      <c r="H213">
        <v>26</v>
      </c>
      <c r="I213" s="4" t="s">
        <v>30</v>
      </c>
      <c r="J213">
        <v>2.5</v>
      </c>
      <c r="P213" s="1">
        <v>346433.33333333302</v>
      </c>
      <c r="Q213">
        <f t="shared" ref="Q213:Q227" si="64">LOG10(P213)</f>
        <v>5.5396196725665972</v>
      </c>
      <c r="S213" s="1">
        <f t="shared" ref="S213:S227" si="65">Q213+1.425131694</f>
        <v>6.9647513665665972</v>
      </c>
      <c r="T213" s="1">
        <f t="shared" ref="T213:T227" si="66">S213-3.84709241853782</f>
        <v>3.1176589480287773</v>
      </c>
      <c r="U213" s="1">
        <f t="shared" ref="U213:U227" si="67">T213/3.19243708</f>
        <v>0.97657647430557259</v>
      </c>
      <c r="Z213"/>
      <c r="AA213"/>
      <c r="AB213"/>
      <c r="AC213"/>
      <c r="AE213" s="1">
        <v>567966.66666666698</v>
      </c>
      <c r="AF213">
        <f t="shared" ref="AF213:AF227" si="68">LOG10(AE213)</f>
        <v>5.7543228481977691</v>
      </c>
      <c r="AH213"/>
      <c r="AI213"/>
      <c r="AJ213"/>
      <c r="AK213">
        <v>18796.666666666701</v>
      </c>
      <c r="AL213">
        <f t="shared" ref="AL213:AL227" si="69">LOG10(AK213)</f>
        <v>4.2740808398686916</v>
      </c>
      <c r="AN213">
        <v>157476.66666666701</v>
      </c>
      <c r="AO213">
        <f t="shared" ref="AO213:AO227" si="70">LOG10(AN213)</f>
        <v>5.1972162134359845</v>
      </c>
    </row>
    <row r="214" spans="1:41" x14ac:dyDescent="0.4">
      <c r="A214" t="s">
        <v>204</v>
      </c>
      <c r="B214" t="s">
        <v>27</v>
      </c>
      <c r="C214">
        <v>46</v>
      </c>
      <c r="D214" t="s">
        <v>28</v>
      </c>
      <c r="E214">
        <v>10</v>
      </c>
      <c r="F214" t="s">
        <v>29</v>
      </c>
      <c r="G214">
        <v>22.5</v>
      </c>
      <c r="H214">
        <v>18.5</v>
      </c>
      <c r="I214" s="4" t="s">
        <v>30</v>
      </c>
      <c r="J214">
        <v>3</v>
      </c>
      <c r="P214" s="1">
        <v>10420</v>
      </c>
      <c r="Q214">
        <f t="shared" si="64"/>
        <v>4.0178677189635055</v>
      </c>
      <c r="S214" s="1">
        <f t="shared" si="65"/>
        <v>5.4429994129635055</v>
      </c>
      <c r="T214" s="1">
        <f t="shared" si="66"/>
        <v>1.5959069944256856</v>
      </c>
      <c r="U214" s="1">
        <f t="shared" si="67"/>
        <v>0.49990241136582891</v>
      </c>
      <c r="Z214"/>
      <c r="AA214"/>
      <c r="AB214"/>
      <c r="AC214"/>
      <c r="AE214">
        <v>23340</v>
      </c>
      <c r="AF214">
        <f t="shared" si="68"/>
        <v>4.3681008517093511</v>
      </c>
      <c r="AH214"/>
      <c r="AI214"/>
      <c r="AJ214"/>
      <c r="AK214" s="1">
        <v>6799.6666666666697</v>
      </c>
      <c r="AL214">
        <f t="shared" si="69"/>
        <v>3.8324876232392402</v>
      </c>
      <c r="AN214">
        <v>109993.33333333299</v>
      </c>
      <c r="AO214">
        <f t="shared" si="70"/>
        <v>5.041366363482898</v>
      </c>
    </row>
    <row r="215" spans="1:41" x14ac:dyDescent="0.4">
      <c r="A215" t="s">
        <v>205</v>
      </c>
      <c r="B215" t="s">
        <v>33</v>
      </c>
      <c r="C215">
        <v>20.5</v>
      </c>
      <c r="D215" t="s">
        <v>168</v>
      </c>
      <c r="E215">
        <v>19.5</v>
      </c>
      <c r="F215" t="s">
        <v>32</v>
      </c>
      <c r="G215">
        <v>42</v>
      </c>
      <c r="H215">
        <v>15</v>
      </c>
      <c r="I215" s="4" t="s">
        <v>57</v>
      </c>
      <c r="J215">
        <v>3.25</v>
      </c>
      <c r="P215" s="1">
        <v>7661.3333333333303</v>
      </c>
      <c r="Q215">
        <f t="shared" si="64"/>
        <v>3.8843043582642283</v>
      </c>
      <c r="S215" s="1">
        <f t="shared" si="65"/>
        <v>5.3094360522642283</v>
      </c>
      <c r="T215" s="1">
        <f t="shared" si="66"/>
        <v>1.4623436337264084</v>
      </c>
      <c r="U215" s="1">
        <f t="shared" si="67"/>
        <v>0.45806498204387741</v>
      </c>
      <c r="Z215"/>
      <c r="AA215"/>
      <c r="AB215"/>
      <c r="AC215"/>
      <c r="AE215">
        <v>28883.333333333299</v>
      </c>
      <c r="AF215">
        <f t="shared" si="68"/>
        <v>4.4606473123302726</v>
      </c>
      <c r="AH215"/>
      <c r="AI215"/>
      <c r="AJ215"/>
      <c r="AK215" s="1">
        <v>13607</v>
      </c>
      <c r="AL215">
        <f t="shared" si="69"/>
        <v>4.1337623847873459</v>
      </c>
      <c r="AN215">
        <v>16000</v>
      </c>
      <c r="AO215">
        <f t="shared" si="70"/>
        <v>4.204119982655925</v>
      </c>
    </row>
    <row r="216" spans="1:41" x14ac:dyDescent="0.4">
      <c r="A216" t="s">
        <v>206</v>
      </c>
      <c r="B216" t="s">
        <v>168</v>
      </c>
      <c r="C216">
        <v>21</v>
      </c>
      <c r="D216" t="s">
        <v>35</v>
      </c>
      <c r="E216">
        <v>8.5</v>
      </c>
      <c r="F216" t="s">
        <v>32</v>
      </c>
      <c r="G216">
        <v>23.5</v>
      </c>
      <c r="H216">
        <v>44</v>
      </c>
      <c r="I216" s="4" t="s">
        <v>30</v>
      </c>
      <c r="J216">
        <v>2.75</v>
      </c>
      <c r="P216" s="1">
        <v>9995.6666666666697</v>
      </c>
      <c r="Q216">
        <f t="shared" si="64"/>
        <v>3.9998117649372991</v>
      </c>
      <c r="S216" s="1">
        <f t="shared" si="65"/>
        <v>5.4249434589372996</v>
      </c>
      <c r="T216" s="1">
        <f t="shared" si="66"/>
        <v>1.5778510403994797</v>
      </c>
      <c r="U216" s="1">
        <f t="shared" si="67"/>
        <v>0.49424655861956085</v>
      </c>
      <c r="Z216"/>
      <c r="AA216"/>
      <c r="AB216"/>
      <c r="AC216"/>
      <c r="AE216" s="1">
        <v>85083.333333333299</v>
      </c>
      <c r="AF216">
        <f t="shared" si="68"/>
        <v>4.9298444960392853</v>
      </c>
      <c r="AH216"/>
      <c r="AI216"/>
      <c r="AJ216"/>
      <c r="AK216">
        <v>23530</v>
      </c>
      <c r="AL216">
        <f t="shared" si="69"/>
        <v>4.3716219271760215</v>
      </c>
      <c r="AN216">
        <v>49076.666666666701</v>
      </c>
      <c r="AO216">
        <f t="shared" si="70"/>
        <v>4.6908750573672178</v>
      </c>
    </row>
    <row r="217" spans="1:41" x14ac:dyDescent="0.4">
      <c r="A217" t="s">
        <v>207</v>
      </c>
      <c r="B217" t="s">
        <v>33</v>
      </c>
      <c r="C217">
        <v>25</v>
      </c>
      <c r="D217" t="s">
        <v>35</v>
      </c>
      <c r="E217">
        <v>11</v>
      </c>
      <c r="F217" t="s">
        <v>29</v>
      </c>
      <c r="G217">
        <v>35</v>
      </c>
      <c r="H217">
        <v>26.5</v>
      </c>
      <c r="I217" s="4" t="s">
        <v>30</v>
      </c>
      <c r="J217">
        <v>2.5</v>
      </c>
      <c r="P217" s="1">
        <v>152766.66666666701</v>
      </c>
      <c r="Q217">
        <f t="shared" si="64"/>
        <v>5.1840286025251254</v>
      </c>
      <c r="S217" s="1">
        <f t="shared" si="65"/>
        <v>6.6091602965251255</v>
      </c>
      <c r="T217" s="1">
        <f t="shared" si="66"/>
        <v>2.7620678779873056</v>
      </c>
      <c r="U217" s="1">
        <f t="shared" si="67"/>
        <v>0.86519101513108154</v>
      </c>
      <c r="Z217"/>
      <c r="AA217"/>
      <c r="AB217"/>
      <c r="AC217"/>
      <c r="AE217" s="1">
        <v>594066.66666666698</v>
      </c>
      <c r="AF217">
        <f t="shared" si="68"/>
        <v>5.7738351846122313</v>
      </c>
      <c r="AH217"/>
      <c r="AI217"/>
      <c r="AJ217"/>
      <c r="AK217">
        <v>27523.333333333299</v>
      </c>
      <c r="AL217">
        <f t="shared" si="69"/>
        <v>4.4397010298762494</v>
      </c>
      <c r="AN217">
        <v>18125.333333333299</v>
      </c>
      <c r="AO217">
        <f t="shared" si="70"/>
        <v>4.2582860021945423</v>
      </c>
    </row>
    <row r="218" spans="1:41" x14ac:dyDescent="0.4">
      <c r="A218" t="s">
        <v>208</v>
      </c>
      <c r="B218" t="s">
        <v>33</v>
      </c>
      <c r="C218">
        <v>24.5</v>
      </c>
      <c r="D218" t="s">
        <v>35</v>
      </c>
      <c r="E218">
        <v>10.5</v>
      </c>
      <c r="F218" t="s">
        <v>29</v>
      </c>
      <c r="G218">
        <v>50</v>
      </c>
      <c r="H218">
        <v>12.5</v>
      </c>
      <c r="I218" s="4" t="s">
        <v>30</v>
      </c>
      <c r="J218">
        <v>2.5</v>
      </c>
      <c r="P218" s="1">
        <v>324533.33333333302</v>
      </c>
      <c r="Q218">
        <f t="shared" si="64"/>
        <v>5.5112593105023455</v>
      </c>
      <c r="S218" s="1">
        <f t="shared" si="65"/>
        <v>6.9363910045023456</v>
      </c>
      <c r="T218" s="1">
        <f t="shared" si="66"/>
        <v>3.0892985859645257</v>
      </c>
      <c r="U218" s="1">
        <f t="shared" si="67"/>
        <v>0.96769286552846512</v>
      </c>
      <c r="Z218"/>
      <c r="AA218"/>
      <c r="AB218"/>
      <c r="AC218"/>
      <c r="AE218" s="1">
        <v>636400</v>
      </c>
      <c r="AF218">
        <f t="shared" si="68"/>
        <v>5.8037301709745437</v>
      </c>
      <c r="AH218"/>
      <c r="AI218"/>
      <c r="AJ218"/>
      <c r="AK218">
        <v>19206.666666666701</v>
      </c>
      <c r="AL218">
        <f t="shared" si="69"/>
        <v>4.2834519992247326</v>
      </c>
      <c r="AN218">
        <v>37483.333333333299</v>
      </c>
      <c r="AO218">
        <f t="shared" si="70"/>
        <v>4.5738382050519881</v>
      </c>
    </row>
    <row r="219" spans="1:41" x14ac:dyDescent="0.4">
      <c r="A219" t="s">
        <v>209</v>
      </c>
      <c r="B219" t="s">
        <v>33</v>
      </c>
      <c r="C219">
        <v>28.5</v>
      </c>
      <c r="D219" t="s">
        <v>35</v>
      </c>
      <c r="E219">
        <v>5</v>
      </c>
      <c r="F219" t="s">
        <v>29</v>
      </c>
      <c r="G219">
        <v>50</v>
      </c>
      <c r="H219">
        <v>14</v>
      </c>
      <c r="I219" s="4" t="s">
        <v>30</v>
      </c>
      <c r="J219">
        <v>2.5</v>
      </c>
      <c r="P219" s="1">
        <v>200600</v>
      </c>
      <c r="Q219">
        <f t="shared" si="64"/>
        <v>5.3023309286843991</v>
      </c>
      <c r="S219" s="1">
        <f t="shared" si="65"/>
        <v>6.7274626226843992</v>
      </c>
      <c r="T219" s="1">
        <f t="shared" si="66"/>
        <v>2.8803702041465793</v>
      </c>
      <c r="U219" s="1">
        <f t="shared" si="67"/>
        <v>0.90224807317003708</v>
      </c>
      <c r="Z219"/>
      <c r="AA219"/>
      <c r="AB219"/>
      <c r="AC219"/>
      <c r="AE219" s="1">
        <v>269800</v>
      </c>
      <c r="AF219">
        <f t="shared" si="68"/>
        <v>5.4310419453358856</v>
      </c>
      <c r="AH219"/>
      <c r="AI219"/>
      <c r="AJ219"/>
      <c r="AK219">
        <v>15483.333333333299</v>
      </c>
      <c r="AL219">
        <f t="shared" si="69"/>
        <v>4.1898644636099975</v>
      </c>
      <c r="AN219">
        <v>14455.333333333299</v>
      </c>
      <c r="AO219">
        <f t="shared" si="70"/>
        <v>4.1600281107530046</v>
      </c>
    </row>
    <row r="220" spans="1:41" x14ac:dyDescent="0.4">
      <c r="A220" t="s">
        <v>210</v>
      </c>
      <c r="B220" t="s">
        <v>33</v>
      </c>
      <c r="C220">
        <v>24</v>
      </c>
      <c r="D220" t="s">
        <v>35</v>
      </c>
      <c r="E220">
        <v>11</v>
      </c>
      <c r="F220" t="s">
        <v>29</v>
      </c>
      <c r="G220">
        <v>36.5</v>
      </c>
      <c r="H220">
        <v>26</v>
      </c>
      <c r="I220" s="4" t="s">
        <v>30</v>
      </c>
      <c r="J220">
        <v>2.5</v>
      </c>
      <c r="P220" s="1">
        <v>339733.33333333302</v>
      </c>
      <c r="Q220">
        <f t="shared" si="64"/>
        <v>5.5311381602716123</v>
      </c>
      <c r="S220" s="1">
        <f t="shared" si="65"/>
        <v>6.9562698542716124</v>
      </c>
      <c r="T220" s="1">
        <f t="shared" si="66"/>
        <v>3.1091774357337925</v>
      </c>
      <c r="U220" s="1">
        <f t="shared" si="67"/>
        <v>0.97391972271346772</v>
      </c>
      <c r="Z220"/>
      <c r="AA220"/>
      <c r="AB220"/>
      <c r="AC220"/>
      <c r="AE220">
        <v>791833.33333333302</v>
      </c>
      <c r="AF220">
        <f t="shared" si="68"/>
        <v>5.8986337800355617</v>
      </c>
      <c r="AH220"/>
      <c r="AI220"/>
      <c r="AJ220"/>
      <c r="AK220">
        <v>34520</v>
      </c>
      <c r="AL220">
        <f t="shared" si="69"/>
        <v>4.5380707870431722</v>
      </c>
      <c r="AN220">
        <v>68886.666666666701</v>
      </c>
      <c r="AO220">
        <f t="shared" si="70"/>
        <v>4.8381351703335485</v>
      </c>
    </row>
    <row r="221" spans="1:41" x14ac:dyDescent="0.4">
      <c r="A221" t="s">
        <v>211</v>
      </c>
      <c r="B221" t="s">
        <v>33</v>
      </c>
      <c r="C221">
        <v>24.5</v>
      </c>
      <c r="D221" t="s">
        <v>35</v>
      </c>
      <c r="E221">
        <v>11.5</v>
      </c>
      <c r="F221" t="s">
        <v>29</v>
      </c>
      <c r="G221">
        <v>35</v>
      </c>
      <c r="H221">
        <v>26.5</v>
      </c>
      <c r="I221" s="4" t="s">
        <v>30</v>
      </c>
      <c r="J221">
        <v>2.5</v>
      </c>
      <c r="P221" s="1">
        <v>107866.66666666701</v>
      </c>
      <c r="Q221">
        <f t="shared" si="64"/>
        <v>5.0328872582205735</v>
      </c>
      <c r="S221" s="1">
        <f t="shared" si="65"/>
        <v>6.4580189522205735</v>
      </c>
      <c r="T221" s="1">
        <f t="shared" si="66"/>
        <v>2.6109265336827536</v>
      </c>
      <c r="U221" s="1">
        <f t="shared" si="67"/>
        <v>0.8178474526685906</v>
      </c>
      <c r="Z221"/>
      <c r="AA221"/>
      <c r="AB221"/>
      <c r="AC221"/>
      <c r="AE221">
        <v>576800</v>
      </c>
      <c r="AF221">
        <f t="shared" si="68"/>
        <v>5.7610252517113727</v>
      </c>
      <c r="AH221"/>
      <c r="AI221"/>
      <c r="AJ221"/>
      <c r="AK221">
        <v>25353.333333333299</v>
      </c>
      <c r="AL221">
        <f t="shared" si="69"/>
        <v>4.4040350663559007</v>
      </c>
      <c r="AN221">
        <v>18796.666666666701</v>
      </c>
      <c r="AO221">
        <f t="shared" si="70"/>
        <v>4.2740808398686916</v>
      </c>
    </row>
    <row r="222" spans="1:41" x14ac:dyDescent="0.4">
      <c r="A222" t="s">
        <v>212</v>
      </c>
      <c r="B222" t="s">
        <v>33</v>
      </c>
      <c r="C222">
        <v>24</v>
      </c>
      <c r="D222" t="s">
        <v>35</v>
      </c>
      <c r="E222">
        <v>11</v>
      </c>
      <c r="F222" t="s">
        <v>29</v>
      </c>
      <c r="G222">
        <v>40</v>
      </c>
      <c r="H222">
        <v>22.5</v>
      </c>
      <c r="I222" s="4" t="s">
        <v>30</v>
      </c>
      <c r="J222">
        <v>2.5</v>
      </c>
      <c r="P222" s="1">
        <v>458433.33333333302</v>
      </c>
      <c r="Q222">
        <f t="shared" si="64"/>
        <v>5.6612761882708833</v>
      </c>
      <c r="S222" s="1">
        <f t="shared" si="65"/>
        <v>7.0864078822708834</v>
      </c>
      <c r="T222" s="1">
        <f t="shared" si="66"/>
        <v>3.2393154637330634</v>
      </c>
      <c r="U222" s="1">
        <f t="shared" si="67"/>
        <v>1.0146841997377951</v>
      </c>
      <c r="Z222"/>
      <c r="AA222"/>
      <c r="AB222"/>
      <c r="AC222"/>
      <c r="AE222">
        <v>862300</v>
      </c>
      <c r="AF222">
        <f t="shared" si="68"/>
        <v>5.9356583861006342</v>
      </c>
      <c r="AH222"/>
      <c r="AI222"/>
      <c r="AJ222"/>
      <c r="AK222">
        <v>9927.6666666666697</v>
      </c>
      <c r="AL222">
        <f t="shared" si="69"/>
        <v>3.9968471867765718</v>
      </c>
      <c r="AN222">
        <v>2848</v>
      </c>
      <c r="AO222">
        <f t="shared" si="70"/>
        <v>3.4545399849648186</v>
      </c>
    </row>
    <row r="223" spans="1:41" x14ac:dyDescent="0.4">
      <c r="A223" t="s">
        <v>213</v>
      </c>
      <c r="B223" t="s">
        <v>33</v>
      </c>
      <c r="C223">
        <v>22</v>
      </c>
      <c r="D223" t="s">
        <v>35</v>
      </c>
      <c r="E223">
        <v>11.5</v>
      </c>
      <c r="F223" t="s">
        <v>32</v>
      </c>
      <c r="G223">
        <v>36.5</v>
      </c>
      <c r="H223">
        <v>27.5</v>
      </c>
      <c r="I223" s="4" t="s">
        <v>30</v>
      </c>
      <c r="J223">
        <v>2.5</v>
      </c>
      <c r="P223" s="1">
        <v>16470</v>
      </c>
      <c r="Q223">
        <f t="shared" si="64"/>
        <v>4.2166935991697541</v>
      </c>
      <c r="S223" s="1">
        <f t="shared" si="65"/>
        <v>5.6418252931697541</v>
      </c>
      <c r="T223" s="1">
        <f t="shared" si="66"/>
        <v>1.7947328746319342</v>
      </c>
      <c r="U223" s="1">
        <f t="shared" si="67"/>
        <v>0.56218269292622491</v>
      </c>
      <c r="Z223"/>
      <c r="AA223"/>
      <c r="AB223"/>
      <c r="AC223"/>
      <c r="AE223">
        <v>88190</v>
      </c>
      <c r="AF223">
        <f t="shared" si="68"/>
        <v>4.9454193426030635</v>
      </c>
      <c r="AH223"/>
      <c r="AI223"/>
      <c r="AJ223"/>
      <c r="AK223">
        <v>4113.6666666666697</v>
      </c>
      <c r="AL223">
        <f t="shared" si="69"/>
        <v>3.6142290975939169</v>
      </c>
      <c r="AN223">
        <v>1494</v>
      </c>
      <c r="AO223">
        <f t="shared" si="70"/>
        <v>3.1743505974793798</v>
      </c>
    </row>
    <row r="224" spans="1:41" x14ac:dyDescent="0.4">
      <c r="A224" s="96" t="s">
        <v>263</v>
      </c>
      <c r="B224" t="s">
        <v>33</v>
      </c>
      <c r="C224">
        <v>24.5</v>
      </c>
      <c r="D224" t="s">
        <v>35</v>
      </c>
      <c r="E224">
        <v>10.5</v>
      </c>
      <c r="F224" t="s">
        <v>29</v>
      </c>
      <c r="G224">
        <v>33</v>
      </c>
      <c r="H224">
        <v>29.5</v>
      </c>
      <c r="I224" s="4" t="s">
        <v>30</v>
      </c>
      <c r="J224">
        <v>2.5</v>
      </c>
      <c r="P224" s="1">
        <v>226733.33333333299</v>
      </c>
      <c r="Q224">
        <f t="shared" si="64"/>
        <v>5.3555153728770399</v>
      </c>
      <c r="R224" s="1">
        <v>7.0395294990300021</v>
      </c>
      <c r="S224" s="1">
        <f t="shared" si="65"/>
        <v>6.78064706687704</v>
      </c>
      <c r="T224" s="1">
        <f t="shared" si="66"/>
        <v>2.9335546483392201</v>
      </c>
      <c r="U224" s="1">
        <f t="shared" si="67"/>
        <v>0.91890758527940042</v>
      </c>
      <c r="Z224"/>
      <c r="AA224"/>
      <c r="AB224"/>
      <c r="AC224"/>
      <c r="AE224">
        <v>815033.33333333302</v>
      </c>
      <c r="AF224">
        <f t="shared" si="68"/>
        <v>5.9111753709322405</v>
      </c>
      <c r="AH224"/>
      <c r="AI224"/>
      <c r="AJ224"/>
      <c r="AK224" s="1">
        <v>49076.666666666701</v>
      </c>
      <c r="AL224">
        <f t="shared" si="69"/>
        <v>4.6908750573672178</v>
      </c>
      <c r="AN224">
        <v>12305.333333333299</v>
      </c>
      <c r="AO224">
        <f t="shared" si="70"/>
        <v>4.0900933825952244</v>
      </c>
    </row>
    <row r="225" spans="1:50" x14ac:dyDescent="0.4">
      <c r="A225" s="96" t="s">
        <v>264</v>
      </c>
      <c r="B225" t="s">
        <v>33</v>
      </c>
      <c r="C225">
        <v>8</v>
      </c>
      <c r="D225" t="s">
        <v>35</v>
      </c>
      <c r="E225">
        <v>17</v>
      </c>
      <c r="F225" t="s">
        <v>29</v>
      </c>
      <c r="G225">
        <v>35</v>
      </c>
      <c r="H225">
        <v>38.5</v>
      </c>
      <c r="I225" s="4" t="s">
        <v>30</v>
      </c>
      <c r="J225">
        <v>1.5</v>
      </c>
      <c r="P225" s="1">
        <v>95650</v>
      </c>
      <c r="Q225">
        <f t="shared" si="64"/>
        <v>4.9806849743633146</v>
      </c>
      <c r="R225" s="1">
        <v>6.2482655651354415</v>
      </c>
      <c r="S225" s="1">
        <f t="shared" si="65"/>
        <v>6.4058166683633146</v>
      </c>
      <c r="T225" s="1">
        <f t="shared" si="66"/>
        <v>2.5587242498254947</v>
      </c>
      <c r="U225" s="1">
        <f t="shared" si="67"/>
        <v>0.80149559277312199</v>
      </c>
      <c r="Z225"/>
      <c r="AA225"/>
      <c r="AB225"/>
      <c r="AC225"/>
      <c r="AE225">
        <v>817400</v>
      </c>
      <c r="AF225">
        <f t="shared" si="68"/>
        <v>5.9124346333755744</v>
      </c>
      <c r="AH225"/>
      <c r="AI225"/>
      <c r="AJ225"/>
      <c r="AK225" s="1">
        <v>18125.333333333299</v>
      </c>
      <c r="AL225">
        <f t="shared" si="69"/>
        <v>4.2582860021945423</v>
      </c>
      <c r="AN225">
        <v>15646.666666666701</v>
      </c>
      <c r="AO225">
        <f t="shared" si="70"/>
        <v>4.194421830542912</v>
      </c>
    </row>
    <row r="226" spans="1:50" x14ac:dyDescent="0.4">
      <c r="A226" s="96" t="s">
        <v>265</v>
      </c>
      <c r="B226" t="s">
        <v>33</v>
      </c>
      <c r="C226">
        <v>12</v>
      </c>
      <c r="D226" t="s">
        <v>35</v>
      </c>
      <c r="E226">
        <v>22.9</v>
      </c>
      <c r="F226" t="s">
        <v>29</v>
      </c>
      <c r="G226">
        <v>34.799999999999997</v>
      </c>
      <c r="H226">
        <v>27.8</v>
      </c>
      <c r="I226" s="4" t="s">
        <v>30</v>
      </c>
      <c r="J226">
        <v>2.5</v>
      </c>
      <c r="P226" s="1">
        <v>113020</v>
      </c>
      <c r="Q226">
        <f t="shared" si="64"/>
        <v>5.0531553029618799</v>
      </c>
      <c r="R226" s="1">
        <v>6.2014859642373601</v>
      </c>
      <c r="S226" s="1">
        <f t="shared" si="65"/>
        <v>6.4782869969618799</v>
      </c>
      <c r="T226" s="1">
        <f t="shared" si="66"/>
        <v>2.63119457842406</v>
      </c>
      <c r="U226" s="1">
        <f t="shared" si="67"/>
        <v>0.8241962214096511</v>
      </c>
      <c r="Z226"/>
      <c r="AA226"/>
      <c r="AB226"/>
      <c r="AC226"/>
      <c r="AE226">
        <v>826033.33333333302</v>
      </c>
      <c r="AF226">
        <f t="shared" si="68"/>
        <v>5.9169975729749069</v>
      </c>
      <c r="AH226"/>
      <c r="AI226"/>
      <c r="AJ226"/>
      <c r="AK226" s="1">
        <v>37483.333333333299</v>
      </c>
      <c r="AL226">
        <f t="shared" si="69"/>
        <v>4.5738382050519881</v>
      </c>
      <c r="AN226">
        <v>19500</v>
      </c>
      <c r="AO226">
        <f t="shared" si="70"/>
        <v>4.2900346113625183</v>
      </c>
    </row>
    <row r="227" spans="1:50" x14ac:dyDescent="0.4">
      <c r="A227" s="96" t="s">
        <v>266</v>
      </c>
      <c r="B227" t="s">
        <v>33</v>
      </c>
      <c r="C227">
        <v>21</v>
      </c>
      <c r="D227" t="s">
        <v>35</v>
      </c>
      <c r="E227">
        <v>14</v>
      </c>
      <c r="F227" t="s">
        <v>29</v>
      </c>
      <c r="G227">
        <v>50</v>
      </c>
      <c r="H227">
        <v>12.5</v>
      </c>
      <c r="I227" s="4" t="s">
        <v>30</v>
      </c>
      <c r="J227">
        <v>2.5</v>
      </c>
      <c r="P227" s="1">
        <v>121016.66666666701</v>
      </c>
      <c r="Q227">
        <f t="shared" si="64"/>
        <v>5.0828451863735538</v>
      </c>
      <c r="R227" s="1">
        <v>6.68344658270565</v>
      </c>
      <c r="S227" s="1">
        <f t="shared" si="65"/>
        <v>6.5079768803735538</v>
      </c>
      <c r="T227" s="1">
        <f t="shared" si="66"/>
        <v>2.6608844618357339</v>
      </c>
      <c r="U227" s="1">
        <f t="shared" si="67"/>
        <v>0.83349628987385838</v>
      </c>
      <c r="Z227"/>
      <c r="AA227"/>
      <c r="AB227"/>
      <c r="AC227"/>
      <c r="AE227">
        <v>696600</v>
      </c>
      <c r="AF227">
        <f t="shared" si="68"/>
        <v>5.8429834701222179</v>
      </c>
      <c r="AH227"/>
      <c r="AI227"/>
      <c r="AJ227"/>
      <c r="AK227" s="1">
        <v>14455.333333333299</v>
      </c>
      <c r="AL227">
        <f t="shared" si="69"/>
        <v>4.1600281107530046</v>
      </c>
      <c r="AN227">
        <v>20713.333333333299</v>
      </c>
      <c r="AO227">
        <f t="shared" si="70"/>
        <v>4.3162499941992927</v>
      </c>
    </row>
    <row r="228" spans="1:50" x14ac:dyDescent="0.4">
      <c r="R228" s="97">
        <f>R224-Q224</f>
        <v>1.6840141261529622</v>
      </c>
      <c r="S228" s="1">
        <f>(R228+R229+R231+R230)/4</f>
        <v>1.4251316936331664</v>
      </c>
    </row>
    <row r="229" spans="1:50" x14ac:dyDescent="0.4">
      <c r="A229" t="s">
        <v>217</v>
      </c>
      <c r="R229" s="97">
        <f t="shared" ref="R229:R231" si="71">R225-Q225</f>
        <v>1.2675805907721269</v>
      </c>
    </row>
    <row r="230" spans="1:50" x14ac:dyDescent="0.4">
      <c r="R230" s="97">
        <f t="shared" si="71"/>
        <v>1.1483306612754802</v>
      </c>
      <c r="AN230">
        <v>5</v>
      </c>
      <c r="AP230">
        <v>7</v>
      </c>
      <c r="AR230">
        <v>9</v>
      </c>
      <c r="AT230">
        <v>11</v>
      </c>
      <c r="AV230">
        <v>13</v>
      </c>
      <c r="AX230">
        <v>15</v>
      </c>
    </row>
    <row r="231" spans="1:50" x14ac:dyDescent="0.4">
      <c r="R231" s="97">
        <f t="shared" si="71"/>
        <v>1.6006013963320962</v>
      </c>
      <c r="AN231">
        <v>49076.666666666701</v>
      </c>
      <c r="AP231">
        <v>37483.333333333299</v>
      </c>
      <c r="AR231">
        <v>68886.666666666701</v>
      </c>
      <c r="AT231">
        <v>2848</v>
      </c>
      <c r="AV231">
        <v>12305.333333333299</v>
      </c>
      <c r="AX231">
        <v>19500</v>
      </c>
    </row>
    <row r="232" spans="1:50" x14ac:dyDescent="0.4">
      <c r="AN232">
        <v>6</v>
      </c>
      <c r="AP232">
        <v>8</v>
      </c>
      <c r="AR232">
        <v>10</v>
      </c>
      <c r="AT232">
        <v>12</v>
      </c>
      <c r="AV232">
        <v>14</v>
      </c>
      <c r="AX232">
        <v>16</v>
      </c>
    </row>
    <row r="233" spans="1:50" x14ac:dyDescent="0.4">
      <c r="AN233">
        <v>18125.333333333299</v>
      </c>
      <c r="AP233">
        <v>14455.333333333299</v>
      </c>
      <c r="AR233">
        <v>18796.666666666701</v>
      </c>
      <c r="AT233">
        <v>1494</v>
      </c>
      <c r="AV233">
        <v>15646.666666666701</v>
      </c>
      <c r="AX233">
        <v>20713.333333333299</v>
      </c>
    </row>
  </sheetData>
  <phoneticPr fontId="25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topLeftCell="G1" workbookViewId="0">
      <selection activeCell="I15" sqref="I15"/>
    </sheetView>
  </sheetViews>
  <sheetFormatPr defaultRowHeight="13.9" x14ac:dyDescent="0.4"/>
  <cols>
    <col min="4" max="4" width="146.796875" style="1" customWidth="1"/>
    <col min="5" max="5" width="14.33203125" style="1" customWidth="1"/>
    <col min="6" max="6" width="15.33203125" style="1" customWidth="1"/>
    <col min="7" max="7" width="18.9296875" style="1" customWidth="1"/>
    <col min="8" max="8" width="17.46484375" style="1" customWidth="1"/>
    <col min="9" max="9" width="28.1328125" style="1" customWidth="1"/>
  </cols>
  <sheetData>
    <row r="1" spans="1:15" ht="14.25" customHeight="1" thickBot="1" x14ac:dyDescent="0.4">
      <c r="A1" s="41" t="s">
        <v>218</v>
      </c>
      <c r="B1" s="41" t="s">
        <v>219</v>
      </c>
      <c r="C1" s="42" t="s">
        <v>220</v>
      </c>
      <c r="D1" s="41"/>
      <c r="E1" s="47" t="s">
        <v>221</v>
      </c>
      <c r="F1" s="47" t="s">
        <v>222</v>
      </c>
      <c r="G1" s="48" t="s">
        <v>223</v>
      </c>
      <c r="H1" s="48" t="s">
        <v>224</v>
      </c>
      <c r="I1" s="48" t="s">
        <v>225</v>
      </c>
      <c r="J1" s="41"/>
      <c r="K1" s="41"/>
      <c r="L1" s="41"/>
      <c r="M1" s="41"/>
      <c r="N1" s="41"/>
      <c r="O1" s="41"/>
    </row>
    <row r="2" spans="1:15" ht="51.4" customHeight="1" thickBot="1" x14ac:dyDescent="0.4">
      <c r="A2" s="41" t="s">
        <v>226</v>
      </c>
      <c r="B2" s="41" t="s">
        <v>227</v>
      </c>
      <c r="C2" s="42" t="s">
        <v>228</v>
      </c>
      <c r="D2" s="41"/>
      <c r="E2" s="48">
        <v>16</v>
      </c>
      <c r="F2" s="48">
        <v>642.1</v>
      </c>
      <c r="G2" s="48">
        <v>0</v>
      </c>
      <c r="H2" s="48">
        <v>3</v>
      </c>
      <c r="I2" s="48" t="s">
        <v>229</v>
      </c>
      <c r="J2" s="41"/>
      <c r="K2" s="41"/>
      <c r="L2" s="41"/>
      <c r="M2" s="41"/>
      <c r="N2" s="41"/>
      <c r="O2" s="41"/>
    </row>
    <row r="3" spans="1:15" ht="25.9" customHeight="1" thickBot="1" x14ac:dyDescent="0.4">
      <c r="A3" s="41" t="s">
        <v>31</v>
      </c>
      <c r="B3" s="41" t="s">
        <v>227</v>
      </c>
      <c r="C3" s="42" t="s">
        <v>230</v>
      </c>
      <c r="D3" s="41"/>
      <c r="E3" s="48">
        <v>17.3</v>
      </c>
      <c r="F3" s="49" t="s">
        <v>231</v>
      </c>
      <c r="G3" s="41">
        <v>1</v>
      </c>
      <c r="H3" s="41">
        <v>6</v>
      </c>
      <c r="I3" s="48" t="s">
        <v>232</v>
      </c>
      <c r="J3" s="41"/>
      <c r="K3" s="41"/>
      <c r="L3" s="41"/>
      <c r="M3" s="41"/>
      <c r="N3" s="41"/>
      <c r="O3" s="41"/>
    </row>
    <row r="4" spans="1:15" ht="25.9" customHeight="1" thickBot="1" x14ac:dyDescent="0.4">
      <c r="A4" s="41" t="s">
        <v>233</v>
      </c>
      <c r="B4" s="41" t="s">
        <v>227</v>
      </c>
      <c r="C4" s="42" t="s">
        <v>234</v>
      </c>
      <c r="D4" s="41"/>
      <c r="E4" s="41">
        <v>15.5</v>
      </c>
      <c r="F4" s="41">
        <v>710.2</v>
      </c>
      <c r="G4" s="41">
        <v>1</v>
      </c>
      <c r="H4" s="41">
        <v>6</v>
      </c>
      <c r="I4" s="48" t="s">
        <v>232</v>
      </c>
      <c r="J4" s="41"/>
      <c r="K4" s="41"/>
      <c r="L4" s="41"/>
      <c r="M4" s="41"/>
      <c r="N4" s="41"/>
      <c r="O4" s="41"/>
    </row>
    <row r="5" spans="1:15" ht="25.9" customHeight="1" thickBot="1" x14ac:dyDescent="0.4">
      <c r="A5" s="41" t="s">
        <v>33</v>
      </c>
      <c r="B5" s="41" t="s">
        <v>227</v>
      </c>
      <c r="C5" s="42" t="s">
        <v>235</v>
      </c>
      <c r="D5" s="41"/>
      <c r="E5" s="41">
        <v>22.3</v>
      </c>
      <c r="F5" s="48">
        <v>1136.9000000000001</v>
      </c>
      <c r="G5" s="41">
        <v>5</v>
      </c>
      <c r="H5" s="41">
        <v>10</v>
      </c>
      <c r="I5" s="48" t="s">
        <v>236</v>
      </c>
      <c r="J5" s="41"/>
      <c r="K5" s="41"/>
      <c r="L5" s="41"/>
      <c r="M5" s="41"/>
      <c r="N5" s="41"/>
      <c r="O5" s="41"/>
    </row>
    <row r="6" spans="1:15" ht="25.9" customHeight="1" thickBot="1" x14ac:dyDescent="0.4">
      <c r="A6" s="41" t="s">
        <v>237</v>
      </c>
      <c r="B6" s="41" t="s">
        <v>227</v>
      </c>
      <c r="C6" s="42" t="s">
        <v>238</v>
      </c>
      <c r="D6" s="41"/>
      <c r="E6" s="41">
        <v>18.7</v>
      </c>
      <c r="F6" s="41">
        <v>993.6</v>
      </c>
      <c r="G6" s="41">
        <v>6</v>
      </c>
      <c r="H6" s="41">
        <v>8</v>
      </c>
      <c r="I6" s="48" t="s">
        <v>239</v>
      </c>
      <c r="J6" s="41"/>
      <c r="K6" s="41"/>
      <c r="L6" s="41"/>
      <c r="M6" s="41"/>
      <c r="N6" s="41"/>
      <c r="O6" s="41"/>
    </row>
    <row r="7" spans="1:15" ht="25.9" customHeight="1" thickBot="1" x14ac:dyDescent="0.4">
      <c r="A7" s="41" t="s">
        <v>34</v>
      </c>
      <c r="B7" s="41" t="s">
        <v>240</v>
      </c>
      <c r="C7" s="42" t="s">
        <v>241</v>
      </c>
      <c r="D7" s="41"/>
      <c r="E7" s="41">
        <v>15.1</v>
      </c>
      <c r="F7" s="41">
        <v>663.1</v>
      </c>
      <c r="G7" s="41">
        <v>0</v>
      </c>
      <c r="H7" s="41">
        <v>4</v>
      </c>
      <c r="I7" s="48" t="s">
        <v>242</v>
      </c>
      <c r="J7" s="41"/>
      <c r="K7" s="41"/>
      <c r="L7" s="41"/>
      <c r="M7" s="41"/>
      <c r="N7" s="41"/>
      <c r="O7" s="41"/>
    </row>
    <row r="8" spans="1:15" ht="25.9" customHeight="1" thickBot="1" x14ac:dyDescent="0.4">
      <c r="A8" s="41" t="s">
        <v>28</v>
      </c>
      <c r="B8" s="41" t="s">
        <v>227</v>
      </c>
      <c r="C8" s="42" t="s">
        <v>243</v>
      </c>
      <c r="D8" s="41"/>
      <c r="E8" s="41">
        <v>15.1</v>
      </c>
      <c r="F8" s="41">
        <v>648.1</v>
      </c>
      <c r="G8" s="41">
        <v>0</v>
      </c>
      <c r="H8" s="41">
        <v>5</v>
      </c>
      <c r="I8" s="48" t="s">
        <v>244</v>
      </c>
      <c r="J8" s="41"/>
      <c r="K8" s="41"/>
      <c r="L8" s="41"/>
      <c r="M8" s="41"/>
      <c r="N8" s="41"/>
      <c r="O8" s="41"/>
    </row>
    <row r="9" spans="1:15" ht="38.65" customHeight="1" thickBot="1" x14ac:dyDescent="0.4">
      <c r="A9" s="41" t="s">
        <v>32</v>
      </c>
      <c r="B9" s="41" t="s">
        <v>245</v>
      </c>
      <c r="C9" s="42" t="s">
        <v>246</v>
      </c>
      <c r="D9" s="41"/>
      <c r="E9" s="41">
        <v>15.6</v>
      </c>
      <c r="F9" s="41">
        <v>790.1</v>
      </c>
      <c r="G9" s="41">
        <v>0</v>
      </c>
      <c r="H9" s="41">
        <v>8</v>
      </c>
      <c r="I9" s="48" t="s">
        <v>247</v>
      </c>
      <c r="J9" s="41"/>
      <c r="K9" s="41"/>
      <c r="L9" s="41"/>
      <c r="M9" s="41"/>
      <c r="N9" s="41"/>
      <c r="O9" s="41"/>
    </row>
    <row r="10" spans="1:15" ht="38.65" customHeight="1" thickBot="1" x14ac:dyDescent="0.4">
      <c r="A10" s="41" t="s">
        <v>29</v>
      </c>
      <c r="B10" s="41" t="s">
        <v>245</v>
      </c>
      <c r="C10" s="42" t="s">
        <v>248</v>
      </c>
      <c r="D10" s="41"/>
      <c r="E10" s="41">
        <v>10.6</v>
      </c>
      <c r="F10" s="41">
        <v>744</v>
      </c>
      <c r="G10" s="41">
        <v>2</v>
      </c>
      <c r="H10" s="41">
        <v>9</v>
      </c>
      <c r="I10" s="48" t="s">
        <v>249</v>
      </c>
      <c r="J10" s="41"/>
      <c r="K10" s="41"/>
      <c r="L10" s="41"/>
      <c r="M10" s="41"/>
      <c r="N10" s="41"/>
      <c r="O10" s="41"/>
    </row>
    <row r="11" spans="1:15" ht="25.9" customHeight="1" thickBot="1" x14ac:dyDescent="0.4">
      <c r="A11" s="41" t="s">
        <v>250</v>
      </c>
      <c r="B11" s="41" t="s">
        <v>251</v>
      </c>
      <c r="C11" s="42" t="s">
        <v>252</v>
      </c>
      <c r="D11" s="41"/>
      <c r="E11" s="41">
        <v>8.6999999999999993</v>
      </c>
      <c r="F11" s="41">
        <v>386.7</v>
      </c>
      <c r="G11" s="41">
        <v>1</v>
      </c>
      <c r="H11" s="41">
        <v>1</v>
      </c>
      <c r="I11" s="48" t="s">
        <v>253</v>
      </c>
      <c r="J11" s="41"/>
      <c r="K11" s="41"/>
      <c r="L11" s="41"/>
      <c r="M11" s="41"/>
      <c r="N11" s="41"/>
      <c r="O11" s="41"/>
    </row>
    <row r="12" spans="1:15" ht="25.9" customHeight="1" thickBot="1" x14ac:dyDescent="0.4">
      <c r="A12" s="41" t="s">
        <v>30</v>
      </c>
      <c r="B12" s="41" t="s">
        <v>254</v>
      </c>
      <c r="C12" s="42" t="s">
        <v>255</v>
      </c>
      <c r="D12" s="41"/>
      <c r="E12" s="41">
        <v>12.3</v>
      </c>
      <c r="F12" s="41">
        <v>570.9</v>
      </c>
      <c r="G12" s="41">
        <v>0</v>
      </c>
      <c r="H12" s="41">
        <v>6</v>
      </c>
      <c r="I12" s="48" t="s">
        <v>256</v>
      </c>
      <c r="J12" s="41"/>
      <c r="K12" s="41"/>
      <c r="L12" s="41"/>
      <c r="M12" s="41"/>
      <c r="N12" s="41"/>
      <c r="O12" s="41"/>
    </row>
    <row r="13" spans="1:15" ht="38.65" customHeight="1" thickBot="1" x14ac:dyDescent="0.4">
      <c r="A13" s="41" t="s">
        <v>257</v>
      </c>
      <c r="B13" s="41" t="s">
        <v>254</v>
      </c>
      <c r="C13" s="42" t="s">
        <v>258</v>
      </c>
      <c r="D13" s="41"/>
      <c r="E13" s="41">
        <v>13.3</v>
      </c>
      <c r="F13" s="41">
        <v>539.9</v>
      </c>
      <c r="G13" s="41">
        <v>0</v>
      </c>
      <c r="H13" s="41">
        <v>3</v>
      </c>
      <c r="I13" s="48" t="s">
        <v>259</v>
      </c>
      <c r="J13" s="41"/>
      <c r="K13" s="41"/>
      <c r="L13" s="41"/>
      <c r="M13" s="41"/>
      <c r="N13" s="41"/>
      <c r="O13" s="41"/>
    </row>
    <row r="14" spans="1:15" ht="25.9" customHeight="1" thickBot="1" x14ac:dyDescent="0.4">
      <c r="A14" s="41" t="s">
        <v>64</v>
      </c>
      <c r="B14" s="41" t="s">
        <v>260</v>
      </c>
      <c r="C14" s="42" t="s">
        <v>261</v>
      </c>
      <c r="D14" s="41"/>
      <c r="E14" s="41">
        <v>12.5</v>
      </c>
      <c r="F14" s="41">
        <v>1056.3</v>
      </c>
      <c r="G14" s="41">
        <v>6</v>
      </c>
      <c r="H14" s="41">
        <v>18</v>
      </c>
      <c r="I14" s="48" t="s">
        <v>262</v>
      </c>
      <c r="J14" s="41"/>
      <c r="K14" s="41"/>
      <c r="L14" s="41"/>
      <c r="M14" s="41"/>
      <c r="N14" s="41"/>
      <c r="O14" s="41"/>
    </row>
    <row r="15" spans="1:15" ht="14.25" customHeight="1" thickBot="1" x14ac:dyDescent="0.4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</row>
  </sheetData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Round1&amp;2&amp;3&amp;4 </vt:lpstr>
      <vt:lpstr>SMILES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</dc:creator>
  <cp:lastModifiedBy>yayizhao</cp:lastModifiedBy>
  <dcterms:created xsi:type="dcterms:W3CDTF">2026-04-10T19:59:34Z</dcterms:created>
  <dcterms:modified xsi:type="dcterms:W3CDTF">2026-09-28T13:20:57Z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819FF19CD0B044F0927DE2A0475DDC01_11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