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I screen LNP python and excel\PyCharm 有效代码\"/>
    </mc:Choice>
  </mc:AlternateContent>
  <xr:revisionPtr revIDLastSave="0" documentId="13_ncr:1_{33982A77-0525-4B8E-A496-84F3F46EBFE8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Round1&amp;2&amp;3 (2)" sheetId="2" r:id="rId1"/>
    <sheet name="SMILES NAM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4" i="2" l="1"/>
  <c r="U15" i="2"/>
  <c r="U16" i="2"/>
  <c r="U17" i="2"/>
  <c r="U30" i="2"/>
  <c r="U31" i="2"/>
  <c r="U32" i="2"/>
  <c r="U33" i="2"/>
  <c r="U46" i="2"/>
  <c r="U47" i="2"/>
  <c r="U48" i="2"/>
  <c r="U49" i="2"/>
  <c r="U50" i="2"/>
  <c r="U62" i="2"/>
  <c r="U63" i="2"/>
  <c r="U64" i="2"/>
  <c r="U65" i="2"/>
  <c r="U66" i="2"/>
  <c r="U78" i="2"/>
  <c r="U79" i="2"/>
  <c r="U87" i="2"/>
  <c r="U88" i="2"/>
  <c r="U89" i="2"/>
  <c r="U101" i="2"/>
  <c r="U102" i="2"/>
  <c r="U103" i="2"/>
  <c r="U104" i="2"/>
  <c r="U105" i="2"/>
  <c r="T3" i="2"/>
  <c r="U3" i="2" s="1"/>
  <c r="T4" i="2"/>
  <c r="U4" i="2" s="1"/>
  <c r="T5" i="2"/>
  <c r="U5" i="2" s="1"/>
  <c r="T6" i="2"/>
  <c r="U6" i="2" s="1"/>
  <c r="T7" i="2"/>
  <c r="U7" i="2" s="1"/>
  <c r="T14" i="2"/>
  <c r="T15" i="2"/>
  <c r="T16" i="2"/>
  <c r="T17" i="2"/>
  <c r="T18" i="2"/>
  <c r="U18" i="2" s="1"/>
  <c r="T19" i="2"/>
  <c r="U19" i="2" s="1"/>
  <c r="T20" i="2"/>
  <c r="U20" i="2" s="1"/>
  <c r="T21" i="2"/>
  <c r="U21" i="2" s="1"/>
  <c r="T22" i="2"/>
  <c r="U22" i="2" s="1"/>
  <c r="T23" i="2"/>
  <c r="U23" i="2" s="1"/>
  <c r="T30" i="2"/>
  <c r="T31" i="2"/>
  <c r="T32" i="2"/>
  <c r="T33" i="2"/>
  <c r="T34" i="2"/>
  <c r="U34" i="2" s="1"/>
  <c r="T36" i="2"/>
  <c r="U36" i="2" s="1"/>
  <c r="T37" i="2"/>
  <c r="U37" i="2" s="1"/>
  <c r="T38" i="2"/>
  <c r="U38" i="2" s="1"/>
  <c r="T39" i="2"/>
  <c r="U39" i="2" s="1"/>
  <c r="T40" i="2"/>
  <c r="U40" i="2" s="1"/>
  <c r="T46" i="2"/>
  <c r="T47" i="2"/>
  <c r="T48" i="2"/>
  <c r="T49" i="2"/>
  <c r="T50" i="2"/>
  <c r="T51" i="2"/>
  <c r="U51" i="2" s="1"/>
  <c r="T52" i="2"/>
  <c r="U52" i="2" s="1"/>
  <c r="T53" i="2"/>
  <c r="U53" i="2" s="1"/>
  <c r="T54" i="2"/>
  <c r="U54" i="2" s="1"/>
  <c r="T55" i="2"/>
  <c r="U55" i="2" s="1"/>
  <c r="T56" i="2"/>
  <c r="U56" i="2" s="1"/>
  <c r="T62" i="2"/>
  <c r="T63" i="2"/>
  <c r="T64" i="2"/>
  <c r="T65" i="2"/>
  <c r="T66" i="2"/>
  <c r="T67" i="2"/>
  <c r="U67" i="2" s="1"/>
  <c r="T68" i="2"/>
  <c r="U68" i="2" s="1"/>
  <c r="T69" i="2"/>
  <c r="U69" i="2" s="1"/>
  <c r="T70" i="2"/>
  <c r="U70" i="2" s="1"/>
  <c r="T71" i="2"/>
  <c r="U71" i="2" s="1"/>
  <c r="T72" i="2"/>
  <c r="U72" i="2" s="1"/>
  <c r="T78" i="2"/>
  <c r="T79" i="2"/>
  <c r="T87" i="2"/>
  <c r="T88" i="2"/>
  <c r="T89" i="2"/>
  <c r="T90" i="2"/>
  <c r="U90" i="2" s="1"/>
  <c r="T91" i="2"/>
  <c r="U91" i="2" s="1"/>
  <c r="T92" i="2"/>
  <c r="U92" i="2" s="1"/>
  <c r="T93" i="2"/>
  <c r="U93" i="2" s="1"/>
  <c r="T94" i="2"/>
  <c r="U94" i="2" s="1"/>
  <c r="T95" i="2"/>
  <c r="U95" i="2" s="1"/>
  <c r="T101" i="2"/>
  <c r="T102" i="2"/>
  <c r="T103" i="2"/>
  <c r="T104" i="2"/>
  <c r="T105" i="2"/>
  <c r="T106" i="2"/>
  <c r="U106" i="2" s="1"/>
  <c r="T107" i="2"/>
  <c r="U107" i="2" s="1"/>
  <c r="T108" i="2"/>
  <c r="U108" i="2" s="1"/>
  <c r="T109" i="2"/>
  <c r="U109" i="2" s="1"/>
  <c r="T110" i="2"/>
  <c r="U110" i="2" s="1"/>
  <c r="T111" i="2"/>
  <c r="U111" i="2" s="1"/>
  <c r="S3" i="2"/>
  <c r="S4" i="2"/>
  <c r="S5" i="2"/>
  <c r="S6" i="2"/>
  <c r="S7" i="2"/>
  <c r="S8" i="2"/>
  <c r="T8" i="2" s="1"/>
  <c r="U8" i="2" s="1"/>
  <c r="S9" i="2"/>
  <c r="T9" i="2" s="1"/>
  <c r="U9" i="2" s="1"/>
  <c r="S10" i="2"/>
  <c r="T10" i="2" s="1"/>
  <c r="U10" i="2" s="1"/>
  <c r="S11" i="2"/>
  <c r="T11" i="2" s="1"/>
  <c r="U11" i="2" s="1"/>
  <c r="S12" i="2"/>
  <c r="T12" i="2" s="1"/>
  <c r="U12" i="2" s="1"/>
  <c r="S13" i="2"/>
  <c r="T13" i="2" s="1"/>
  <c r="U13" i="2" s="1"/>
  <c r="S14" i="2"/>
  <c r="S15" i="2"/>
  <c r="S16" i="2"/>
  <c r="S17" i="2"/>
  <c r="S18" i="2"/>
  <c r="S19" i="2"/>
  <c r="S20" i="2"/>
  <c r="S21" i="2"/>
  <c r="S22" i="2"/>
  <c r="S23" i="2"/>
  <c r="S24" i="2"/>
  <c r="T24" i="2" s="1"/>
  <c r="U24" i="2" s="1"/>
  <c r="S25" i="2"/>
  <c r="T25" i="2" s="1"/>
  <c r="U25" i="2" s="1"/>
  <c r="S26" i="2"/>
  <c r="T26" i="2" s="1"/>
  <c r="U26" i="2" s="1"/>
  <c r="S27" i="2"/>
  <c r="T27" i="2" s="1"/>
  <c r="U27" i="2" s="1"/>
  <c r="S28" i="2"/>
  <c r="T28" i="2" s="1"/>
  <c r="U28" i="2" s="1"/>
  <c r="S29" i="2"/>
  <c r="T29" i="2" s="1"/>
  <c r="U29" i="2" s="1"/>
  <c r="S30" i="2"/>
  <c r="S31" i="2"/>
  <c r="S32" i="2"/>
  <c r="S33" i="2"/>
  <c r="S34" i="2"/>
  <c r="S35" i="2"/>
  <c r="T35" i="2" s="1"/>
  <c r="S36" i="2"/>
  <c r="S37" i="2"/>
  <c r="S38" i="2"/>
  <c r="S39" i="2"/>
  <c r="S40" i="2"/>
  <c r="S41" i="2"/>
  <c r="T41" i="2" s="1"/>
  <c r="U41" i="2" s="1"/>
  <c r="S42" i="2"/>
  <c r="T42" i="2" s="1"/>
  <c r="U42" i="2" s="1"/>
  <c r="S43" i="2"/>
  <c r="T43" i="2" s="1"/>
  <c r="U43" i="2" s="1"/>
  <c r="S44" i="2"/>
  <c r="T44" i="2" s="1"/>
  <c r="U44" i="2" s="1"/>
  <c r="S45" i="2"/>
  <c r="T45" i="2" s="1"/>
  <c r="U45" i="2" s="1"/>
  <c r="S46" i="2"/>
  <c r="S47" i="2"/>
  <c r="S48" i="2"/>
  <c r="S49" i="2"/>
  <c r="S50" i="2"/>
  <c r="S51" i="2"/>
  <c r="S52" i="2"/>
  <c r="S53" i="2"/>
  <c r="S54" i="2"/>
  <c r="S55" i="2"/>
  <c r="S56" i="2"/>
  <c r="S57" i="2"/>
  <c r="T57" i="2" s="1"/>
  <c r="U57" i="2" s="1"/>
  <c r="S58" i="2"/>
  <c r="T58" i="2" s="1"/>
  <c r="U58" i="2" s="1"/>
  <c r="S59" i="2"/>
  <c r="T59" i="2" s="1"/>
  <c r="U59" i="2" s="1"/>
  <c r="S60" i="2"/>
  <c r="T60" i="2" s="1"/>
  <c r="U60" i="2" s="1"/>
  <c r="S61" i="2"/>
  <c r="T61" i="2" s="1"/>
  <c r="U61" i="2" s="1"/>
  <c r="S62" i="2"/>
  <c r="S63" i="2"/>
  <c r="S64" i="2"/>
  <c r="S65" i="2"/>
  <c r="S66" i="2"/>
  <c r="S67" i="2"/>
  <c r="S68" i="2"/>
  <c r="S69" i="2"/>
  <c r="S70" i="2"/>
  <c r="S71" i="2"/>
  <c r="S72" i="2"/>
  <c r="S73" i="2"/>
  <c r="T73" i="2" s="1"/>
  <c r="U73" i="2" s="1"/>
  <c r="S74" i="2"/>
  <c r="T74" i="2" s="1"/>
  <c r="U74" i="2" s="1"/>
  <c r="S75" i="2"/>
  <c r="T75" i="2" s="1"/>
  <c r="U75" i="2" s="1"/>
  <c r="S76" i="2"/>
  <c r="T76" i="2" s="1"/>
  <c r="U76" i="2" s="1"/>
  <c r="S77" i="2"/>
  <c r="T77" i="2" s="1"/>
  <c r="U77" i="2" s="1"/>
  <c r="S78" i="2"/>
  <c r="S79" i="2"/>
  <c r="S87" i="2"/>
  <c r="S88" i="2"/>
  <c r="S89" i="2"/>
  <c r="S90" i="2"/>
  <c r="S91" i="2"/>
  <c r="S92" i="2"/>
  <c r="S93" i="2"/>
  <c r="S94" i="2"/>
  <c r="S95" i="2"/>
  <c r="S96" i="2"/>
  <c r="T96" i="2" s="1"/>
  <c r="U96" i="2" s="1"/>
  <c r="S97" i="2"/>
  <c r="T97" i="2" s="1"/>
  <c r="U97" i="2" s="1"/>
  <c r="S98" i="2"/>
  <c r="T98" i="2" s="1"/>
  <c r="U98" i="2" s="1"/>
  <c r="S99" i="2"/>
  <c r="T99" i="2" s="1"/>
  <c r="U99" i="2" s="1"/>
  <c r="S100" i="2"/>
  <c r="T100" i="2" s="1"/>
  <c r="U100" i="2" s="1"/>
  <c r="S101" i="2"/>
  <c r="S102" i="2"/>
  <c r="S103" i="2"/>
  <c r="S104" i="2"/>
  <c r="S105" i="2"/>
  <c r="S106" i="2"/>
  <c r="S107" i="2"/>
  <c r="S108" i="2"/>
  <c r="S109" i="2"/>
  <c r="S110" i="2"/>
  <c r="S111" i="2"/>
  <c r="S112" i="2"/>
  <c r="T112" i="2" s="1"/>
  <c r="U112" i="2" s="1"/>
  <c r="S113" i="2"/>
  <c r="T113" i="2" s="1"/>
  <c r="U113" i="2" s="1"/>
  <c r="S114" i="2"/>
  <c r="T114" i="2" s="1"/>
  <c r="U114" i="2" s="1"/>
  <c r="S115" i="2"/>
  <c r="T115" i="2" s="1"/>
  <c r="U115" i="2" s="1"/>
  <c r="S2" i="2"/>
  <c r="T2" i="2" s="1"/>
  <c r="U2" i="2" s="1"/>
</calcChain>
</file>

<file path=xl/sharedStrings.xml><?xml version="1.0" encoding="utf-8"?>
<sst xmlns="http://schemas.openxmlformats.org/spreadsheetml/2006/main" count="638" uniqueCount="161">
  <si>
    <t>Selection_Order</t>
  </si>
  <si>
    <t>Ionizable_Lipid_1</t>
  </si>
  <si>
    <t>IL1_Mol_Percent</t>
  </si>
  <si>
    <t>Ionizable_Lipid_2</t>
  </si>
  <si>
    <t>IL2_Mol_Percent</t>
  </si>
  <si>
    <t>Phospholipid</t>
  </si>
  <si>
    <t>Phospholipid_Mol_Percent</t>
  </si>
  <si>
    <t>Cholesterol_Mol_Percent</t>
  </si>
  <si>
    <t>PEG类型</t>
  </si>
  <si>
    <t>PEG_Mol_Percent</t>
  </si>
  <si>
    <t>Total_Ionizable_Lipid_Mol_Ratio</t>
  </si>
  <si>
    <t>Particle_Size (nm)</t>
  </si>
  <si>
    <t>PDI</t>
  </si>
  <si>
    <t>Zeta_Potential (mV)</t>
  </si>
  <si>
    <t>DC_Cell_Transfection_Efficiency</t>
  </si>
  <si>
    <t>MC3</t>
  </si>
  <si>
    <t>DODAP</t>
  </si>
  <si>
    <t>DOPE</t>
  </si>
  <si>
    <t>DMG-PEG2000</t>
  </si>
  <si>
    <t>ALC-0315</t>
  </si>
  <si>
    <t>DSPC</t>
  </si>
  <si>
    <t>C12-200</t>
  </si>
  <si>
    <t>DOTAP</t>
  </si>
  <si>
    <t>SM102</t>
  </si>
  <si>
    <t/>
  </si>
  <si>
    <t>配方编号</t>
  </si>
  <si>
    <t>离子化脂质1</t>
  </si>
  <si>
    <t>IL1摩尔百分比</t>
  </si>
  <si>
    <t>离子化脂质2</t>
  </si>
  <si>
    <t>IL2摩尔百分比</t>
  </si>
  <si>
    <t>磷脂</t>
  </si>
  <si>
    <t>磷脂摩尔百分比</t>
  </si>
  <si>
    <t>胆固醇摩尔百分比</t>
  </si>
  <si>
    <t>PEG摩尔百分比</t>
  </si>
  <si>
    <t>离子化脂质总摩尔比</t>
  </si>
  <si>
    <t>R2-01</t>
  </si>
  <si>
    <t>CCK12</t>
  </si>
  <si>
    <t>R2-02</t>
  </si>
  <si>
    <t>C14-PEG</t>
  </si>
  <si>
    <t>R2-03</t>
  </si>
  <si>
    <t>R2-04</t>
  </si>
  <si>
    <t>R2-05</t>
  </si>
  <si>
    <t>R2-06</t>
  </si>
  <si>
    <t>PEG-Mannose</t>
  </si>
  <si>
    <t>R2-07</t>
  </si>
  <si>
    <t>R2-08</t>
  </si>
  <si>
    <t>R2-09</t>
  </si>
  <si>
    <t>R2-10</t>
  </si>
  <si>
    <t>R2-11</t>
  </si>
  <si>
    <t>R2-12</t>
  </si>
  <si>
    <t>R2-13</t>
  </si>
  <si>
    <t>R2-14</t>
  </si>
  <si>
    <t>R2-15</t>
  </si>
  <si>
    <t>R2-16</t>
  </si>
  <si>
    <t>R2-17</t>
  </si>
  <si>
    <t>R2-18</t>
  </si>
  <si>
    <t>R2-19</t>
  </si>
  <si>
    <t>R2-20</t>
  </si>
  <si>
    <t>R2-21</t>
  </si>
  <si>
    <t>R2-22</t>
  </si>
  <si>
    <t>R2-23</t>
  </si>
  <si>
    <t>R2-24</t>
  </si>
  <si>
    <t>R2-25</t>
  </si>
  <si>
    <t>R2-26</t>
  </si>
  <si>
    <t>R2-27</t>
  </si>
  <si>
    <t>R2-28</t>
  </si>
  <si>
    <t>R2-29</t>
  </si>
  <si>
    <t>R2-30</t>
  </si>
  <si>
    <t>R2-31</t>
  </si>
  <si>
    <t>R2-32</t>
  </si>
  <si>
    <t>R2-33</t>
  </si>
  <si>
    <t>R2-34</t>
  </si>
  <si>
    <t>R2-35</t>
  </si>
  <si>
    <t>R2-36</t>
  </si>
  <si>
    <t>R2-37</t>
  </si>
  <si>
    <t>R2-38</t>
  </si>
  <si>
    <t>R2-39</t>
  </si>
  <si>
    <t>R2-40</t>
  </si>
  <si>
    <t>Calibration</t>
  </si>
  <si>
    <t>R3-01</t>
  </si>
  <si>
    <t>R3-02</t>
  </si>
  <si>
    <t>R3-03</t>
  </si>
  <si>
    <t>R3-04</t>
  </si>
  <si>
    <t>R3-05</t>
  </si>
  <si>
    <t>R3-06</t>
  </si>
  <si>
    <t>R3-07</t>
  </si>
  <si>
    <t>R3-08</t>
  </si>
  <si>
    <t>R3-09</t>
  </si>
  <si>
    <t>R3-10</t>
  </si>
  <si>
    <t>R3-11</t>
  </si>
  <si>
    <t>R3-12</t>
  </si>
  <si>
    <t>R3-13</t>
  </si>
  <si>
    <t>R3-14</t>
  </si>
  <si>
    <t>R3-15</t>
  </si>
  <si>
    <t>ALC0315</t>
  </si>
  <si>
    <t>R3-16</t>
  </si>
  <si>
    <t>R3-17</t>
  </si>
  <si>
    <t>R3-18</t>
  </si>
  <si>
    <t>R3-19</t>
  </si>
  <si>
    <t>R3-20</t>
  </si>
  <si>
    <t>R3-21</t>
  </si>
  <si>
    <t>R3-22</t>
  </si>
  <si>
    <t>R3-23</t>
  </si>
  <si>
    <t>R3-24</t>
  </si>
  <si>
    <t>R3-25</t>
  </si>
  <si>
    <t>R3-26</t>
  </si>
  <si>
    <t>R3-27</t>
  </si>
  <si>
    <t>R3-28</t>
  </si>
  <si>
    <t>R3-29</t>
  </si>
  <si>
    <t>脂质名称</t>
  </si>
  <si>
    <t>脂质类别</t>
  </si>
  <si>
    <t>标准 SMILES 表达式</t>
  </si>
  <si>
    <t>DLin-MC3-DMA (MC3)</t>
  </si>
  <si>
    <t>离子化脂质</t>
  </si>
  <si>
    <t>SM-102</t>
  </si>
  <si>
    <t>CKK-E12 (CCK12)</t>
  </si>
  <si>
    <t>离子化脂质(阳离子)</t>
  </si>
  <si>
    <t>磷脂 (Helper Lipid)</t>
  </si>
  <si>
    <t>Cholesterol</t>
  </si>
  <si>
    <t>胆固醇 (Sterol)</t>
  </si>
  <si>
    <t>PEG 脂质</t>
  </si>
  <si>
    <t>C14-PEG (ALC-0159)</t>
  </si>
  <si>
    <t>改性 PEG 脂质</t>
  </si>
  <si>
    <t>盘内标准</t>
  </si>
  <si>
    <t>P-Q</t>
  </si>
  <si>
    <t>R-min</t>
  </si>
  <si>
    <t>CCCCC/C=C\C/C=C\CCCCCCCCC(OC(=O)CCCN(C)C)CCCCCCCC/C=C\C/C=C\CCCCC</t>
  </si>
  <si>
    <t>LogP</t>
  </si>
  <si>
    <t>Molecular Weight g/mol</t>
  </si>
  <si>
    <t>Hydrogen Bond Donor Count</t>
  </si>
  <si>
    <t>Hydrogen Bond Acceptor Count</t>
  </si>
  <si>
    <t>Topological Polar Surface Area</t>
  </si>
  <si>
    <t>29.5 Å²</t>
  </si>
  <si>
    <t>766.3 </t>
  </si>
  <si>
    <t>CCCCCCCCC(CCCCCC)C(=O)OCCCCCCN(CCCCCCOC(=O)C(CCCCCC)CCCCCCCC)CCCCO</t>
  </si>
  <si>
    <t>76.1 Å²</t>
  </si>
  <si>
    <t>CCCCCCCCCCCOC(=O)CCCCCN(CCCCCCCC(=O)OC(CCCCCCCC)CCCCCCCC)CCO</t>
  </si>
  <si>
    <t>CCCCCCCCCCC(CN(CCN1CCN(CC1)CCN(CC(CCCCCCCCCC)O)CC(CCCCCCCCCC)O)CCN(CC(CCCCCCCCCC)O)CC(CCCCCCCCCC)O)O</t>
  </si>
  <si>
    <t>117 Å²</t>
  </si>
  <si>
    <t>CCCCCCCCCCC(CN(CCCCC1C(=O)NC(C(=O)N1)CCCCN(CC(CCCCCCCCCC)O)CC(CCCCCCCCCC)O)CC(CCCCCCCCCC)O)O</t>
  </si>
  <si>
    <t>146 Å²</t>
  </si>
  <si>
    <t>CCCCCCCC/C=C\CCCCCCCC(=O)OCC(C[N+](C)(C)C)OC(=O)CCCCCCC/C=C\CCCCCCCC</t>
  </si>
  <si>
    <t>52.6 Å²</t>
  </si>
  <si>
    <t>CCCCCCCC/C=C\CCCCCCCC(=O)OCC(CN(C)C)OC(=O)CCCCCCC/C=C\CCCCCCCC</t>
  </si>
  <si>
    <t>55.8 Å²</t>
  </si>
  <si>
    <t>CCCCCCCCCCCCCCCCCC(=O)OC[C@H](COP(=O)([O-])OCC[N+](C)(C)C)OC(=O)CCCCCCCCCCCCCCCCC</t>
  </si>
  <si>
    <t>111 Å²</t>
  </si>
  <si>
    <t>CCCCCCCC/C=C\CCCCCCCC(=O)OC[C@H](COP(=O)(O)OCCN)OC(=O)CCCCCCC/C=C\CCCCCCCC</t>
  </si>
  <si>
    <t>134 Å²</t>
  </si>
  <si>
    <t>C[C@H](CCCC(C)C)[C@H]1CC[C@@H]2[C@@]1(CC[C@H]3[C@H]2CC=C4[C@@]3(CC[C@@H](C4)O)C)C</t>
  </si>
  <si>
    <t>20.2 Å²</t>
  </si>
  <si>
    <t>CCCCCCCCCCCCCC(=O)OCC(COCCOC)OC(=O)CCCCCCCCCCCCC</t>
  </si>
  <si>
    <t>71.1 Å²</t>
  </si>
  <si>
    <t>CCCCCCCCCCCCCCCN(CCCCCCCCCCCCCC)C(=O)COCCOC</t>
  </si>
  <si>
    <t>38.8 Å²</t>
  </si>
  <si>
    <t>CCCCCCCCCCCCCCCCCC(=O)OCC(COP(=O)(O)OCCNC(=O)OCCOCC(=O)OC[C@@H]1[C@H]([C@@H]([C@@H]([C@@H](O1)O)O)O)O)OC(=O)CCCCCCCCCCCCCCCCC</t>
  </si>
  <si>
    <t>272 Å²</t>
  </si>
  <si>
    <t>Normalized for HaCaT</t>
  </si>
  <si>
    <t>normolized for DC2.4</t>
    <phoneticPr fontId="15" type="noConversion"/>
  </si>
  <si>
    <t>in same log value</t>
    <phoneticPr fontId="15" type="noConversion"/>
  </si>
  <si>
    <t xml:space="preserve">pKa 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</si>
</sst>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等线"/>
      <charset val="134"/>
      <scheme val="minor"/>
    </font>
    <font>
      <b/>
      <sz val="11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color rgb="FF000000"/>
      <name val="Arial"/>
      <family val="2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rgb="FFC00000"/>
      <name val="等线"/>
      <family val="3"/>
      <charset val="134"/>
      <scheme val="minor"/>
    </font>
    <font>
      <sz val="11"/>
      <color rgb="FF0070C0"/>
      <name val="等线"/>
      <family val="3"/>
      <charset val="134"/>
      <scheme val="minor"/>
    </font>
    <font>
      <sz val="7"/>
      <color rgb="FF27251E"/>
      <name val="Segoe UI"/>
      <family val="2"/>
    </font>
    <font>
      <sz val="7"/>
      <color rgb="FF111827"/>
      <name val="Arial"/>
      <family val="2"/>
    </font>
    <font>
      <sz val="8"/>
      <color rgb="FF111827"/>
      <name val="Arial"/>
      <family val="2"/>
    </font>
    <font>
      <sz val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sz val="11"/>
      <color rgb="FFFF0000"/>
      <name val="等线"/>
      <family val="3"/>
      <charset val="134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FFE4B5"/>
        <bgColor rgb="FFFFE4B5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AEEF3"/>
        <bgColor rgb="FFDAEEF3"/>
      </patternFill>
    </fill>
    <fill>
      <patternFill patternType="solid">
        <fgColor theme="5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CC"/>
      </patternFill>
    </fill>
    <fill>
      <patternFill patternType="solid">
        <fgColor rgb="FF00B050"/>
        <bgColor indexed="64"/>
      </patternFill>
    </fill>
    <fill>
      <patternFill patternType="solid">
        <fgColor rgb="FFF8AEF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>
      <alignment vertical="center"/>
    </xf>
    <xf numFmtId="0" fontId="7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16" fillId="0" borderId="0"/>
  </cellStyleXfs>
  <cellXfs count="65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0" fillId="3" borderId="0" xfId="0" applyFill="1" applyAlignment="1"/>
    <xf numFmtId="0" fontId="0" fillId="3" borderId="0" xfId="0" applyFill="1" applyAlignment="1">
      <alignment horizontal="right"/>
    </xf>
    <xf numFmtId="0" fontId="0" fillId="4" borderId="0" xfId="0" applyFill="1" applyAlignment="1"/>
    <xf numFmtId="0" fontId="0" fillId="5" borderId="0" xfId="0" applyFill="1" applyAlignment="1"/>
    <xf numFmtId="0" fontId="0" fillId="5" borderId="0" xfId="0" applyFill="1" applyAlignment="1">
      <alignment horizontal="right"/>
    </xf>
    <xf numFmtId="0" fontId="2" fillId="4" borderId="1" xfId="0" applyFont="1" applyFill="1" applyBorder="1" applyAlignment="1">
      <alignment horizontal="center" vertical="top"/>
    </xf>
    <xf numFmtId="0" fontId="3" fillId="4" borderId="0" xfId="0" applyFont="1" applyFill="1" applyAlignment="1"/>
    <xf numFmtId="0" fontId="3" fillId="0" borderId="0" xfId="0" applyFont="1" applyAlignment="1"/>
    <xf numFmtId="0" fontId="3" fillId="3" borderId="0" xfId="0" applyFont="1" applyFill="1" applyAlignment="1"/>
    <xf numFmtId="0" fontId="3" fillId="5" borderId="0" xfId="0" applyFont="1" applyFill="1" applyAlignment="1"/>
    <xf numFmtId="0" fontId="3" fillId="6" borderId="0" xfId="0" applyFont="1" applyFill="1" applyAlignment="1"/>
    <xf numFmtId="0" fontId="3" fillId="7" borderId="0" xfId="0" applyFont="1" applyFill="1" applyAlignment="1"/>
    <xf numFmtId="0" fontId="3" fillId="8" borderId="0" xfId="0" applyFont="1" applyFill="1" applyAlignment="1"/>
    <xf numFmtId="0" fontId="4" fillId="9" borderId="0" xfId="1" applyFont="1" applyAlignment="1"/>
    <xf numFmtId="0" fontId="0" fillId="10" borderId="0" xfId="0" applyFill="1" applyAlignment="1"/>
    <xf numFmtId="0" fontId="5" fillId="10" borderId="0" xfId="0" applyFont="1" applyFill="1" applyAlignment="1"/>
    <xf numFmtId="0" fontId="0" fillId="10" borderId="3" xfId="0" applyFill="1" applyBorder="1" applyAlignment="1"/>
    <xf numFmtId="0" fontId="0" fillId="10" borderId="4" xfId="0" applyFill="1" applyBorder="1" applyAlignment="1"/>
    <xf numFmtId="0" fontId="0" fillId="10" borderId="5" xfId="0" applyFill="1" applyBorder="1" applyAlignment="1"/>
    <xf numFmtId="0" fontId="6" fillId="11" borderId="1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6" fillId="12" borderId="1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7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7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5" borderId="6" xfId="0" applyFont="1" applyFill="1" applyBorder="1" applyAlignment="1">
      <alignment horizontal="center" vertical="center" wrapText="1"/>
    </xf>
    <xf numFmtId="0" fontId="6" fillId="15" borderId="7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6" fillId="16" borderId="7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/>
    </xf>
    <xf numFmtId="0" fontId="1" fillId="18" borderId="2" xfId="0" applyFont="1" applyFill="1" applyBorder="1" applyAlignment="1">
      <alignment horizontal="center" vertical="top"/>
    </xf>
    <xf numFmtId="0" fontId="1" fillId="18" borderId="1" xfId="0" applyFont="1" applyFill="1" applyBorder="1" applyAlignment="1">
      <alignment horizontal="center" vertical="top"/>
    </xf>
    <xf numFmtId="0" fontId="6" fillId="19" borderId="7" xfId="0" applyFont="1" applyFill="1" applyBorder="1" applyAlignment="1">
      <alignment horizontal="center" vertical="center" wrapText="1"/>
    </xf>
    <xf numFmtId="0" fontId="0" fillId="18" borderId="1" xfId="0" applyFill="1" applyBorder="1">
      <alignment vertical="center"/>
    </xf>
    <xf numFmtId="0" fontId="3" fillId="0" borderId="0" xfId="0" applyFont="1">
      <alignment vertical="center"/>
    </xf>
    <xf numFmtId="0" fontId="8" fillId="0" borderId="8" xfId="0" applyFont="1" applyBorder="1" applyAlignment="1">
      <alignment wrapText="1"/>
    </xf>
    <xf numFmtId="0" fontId="8" fillId="0" borderId="8" xfId="0" applyFont="1" applyBorder="1">
      <alignment vertical="center"/>
    </xf>
    <xf numFmtId="0" fontId="9" fillId="0" borderId="0" xfId="0" applyFont="1" applyAlignment="1"/>
    <xf numFmtId="0" fontId="9" fillId="0" borderId="0" xfId="0" applyFont="1" applyAlignment="1">
      <alignment horizontal="right"/>
    </xf>
    <xf numFmtId="0" fontId="1" fillId="0" borderId="9" xfId="0" applyFont="1" applyBorder="1" applyAlignment="1">
      <alignment horizontal="center" vertical="top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1" fillId="20" borderId="9" xfId="0" applyFont="1" applyFill="1" applyBorder="1" applyAlignment="1">
      <alignment horizontal="center" vertical="top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" fillId="21" borderId="9" xfId="2" applyFont="1" applyFill="1" applyBorder="1" applyAlignment="1">
      <alignment horizontal="center" vertical="top"/>
    </xf>
    <xf numFmtId="0" fontId="4" fillId="0" borderId="0" xfId="2">
      <alignment vertical="center"/>
    </xf>
    <xf numFmtId="0" fontId="4" fillId="2" borderId="0" xfId="0" applyFont="1" applyFill="1" applyAlignment="1"/>
    <xf numFmtId="0" fontId="4" fillId="0" borderId="0" xfId="0" applyFont="1" applyAlignment="1"/>
    <xf numFmtId="0" fontId="17" fillId="0" borderId="0" xfId="0" applyFont="1">
      <alignment vertical="center"/>
    </xf>
  </cellXfs>
  <cellStyles count="4">
    <cellStyle name="20% - 着色 6" xfId="1" builtinId="50"/>
    <cellStyle name="常规" xfId="0" builtinId="0"/>
    <cellStyle name="常规 2" xfId="2" xr:uid="{0276E7B0-C5D3-4C68-8554-7BEA19C3A7F4}"/>
    <cellStyle name="常规 2 2" xfId="3" xr:uid="{FB6F7665-198D-4881-A7D6-06643EDBF4C6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54"/>
  <sheetViews>
    <sheetView tabSelected="1" topLeftCell="I94" zoomScale="60" zoomScaleNormal="60" workbookViewId="0">
      <selection activeCell="O87" sqref="O87:O115"/>
    </sheetView>
  </sheetViews>
  <sheetFormatPr defaultRowHeight="13.9" x14ac:dyDescent="0.4"/>
  <cols>
    <col min="14" max="15" width="26.3984375" customWidth="1"/>
    <col min="16" max="16" width="32.86328125" customWidth="1"/>
    <col min="17" max="17" width="30.1328125" customWidth="1"/>
    <col min="18" max="18" width="14.3984375" hidden="1" customWidth="1"/>
    <col min="19" max="19" width="13.3984375" hidden="1" customWidth="1"/>
    <col min="20" max="20" width="11.9296875" hidden="1" customWidth="1"/>
    <col min="21" max="21" width="32.1328125" customWidth="1"/>
    <col min="22" max="22" width="35.59765625" customWidth="1"/>
  </cols>
  <sheetData>
    <row r="1" spans="1:22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160</v>
      </c>
      <c r="P1" s="2" t="s">
        <v>14</v>
      </c>
      <c r="Q1" s="62" t="s">
        <v>159</v>
      </c>
      <c r="R1" s="53" t="s">
        <v>123</v>
      </c>
      <c r="S1" s="53" t="s">
        <v>124</v>
      </c>
      <c r="T1" s="53" t="s">
        <v>125</v>
      </c>
      <c r="U1" s="56" t="s">
        <v>158</v>
      </c>
      <c r="V1" s="60" t="s">
        <v>157</v>
      </c>
    </row>
    <row r="2" spans="1:22" x14ac:dyDescent="0.4">
      <c r="A2" s="1">
        <v>1</v>
      </c>
      <c r="B2" s="1" t="s">
        <v>15</v>
      </c>
      <c r="C2" s="1">
        <v>25</v>
      </c>
      <c r="D2" s="1" t="s">
        <v>16</v>
      </c>
      <c r="E2" s="1">
        <v>25</v>
      </c>
      <c r="F2" s="1" t="s">
        <v>17</v>
      </c>
      <c r="G2" s="1">
        <v>10</v>
      </c>
      <c r="H2" s="1">
        <v>38.5</v>
      </c>
      <c r="I2" s="4" t="s">
        <v>18</v>
      </c>
      <c r="J2" s="1">
        <v>1.5</v>
      </c>
      <c r="K2" s="1">
        <v>50</v>
      </c>
      <c r="L2" s="1">
        <v>144.5</v>
      </c>
      <c r="M2" s="1">
        <v>0.12540000000000001</v>
      </c>
      <c r="N2" s="1">
        <v>-1.111</v>
      </c>
      <c r="O2" s="1">
        <v>5.73</v>
      </c>
      <c r="P2" s="1">
        <v>21613.333333333299</v>
      </c>
      <c r="Q2" s="1">
        <v>2.78797528445681</v>
      </c>
      <c r="R2">
        <v>3.8753506961317101</v>
      </c>
      <c r="S2">
        <f>Q2-R2</f>
        <v>-1.0873754116749001</v>
      </c>
      <c r="T2">
        <f>S2+1.64743</f>
        <v>0.5600545883250998</v>
      </c>
      <c r="U2">
        <f>T2/2.96582</f>
        <v>0.18883633812068831</v>
      </c>
      <c r="V2" s="61">
        <v>0.18099256231019753</v>
      </c>
    </row>
    <row r="3" spans="1:22" x14ac:dyDescent="0.4">
      <c r="A3" s="1">
        <v>2</v>
      </c>
      <c r="B3" s="1" t="s">
        <v>15</v>
      </c>
      <c r="C3" s="1">
        <v>33</v>
      </c>
      <c r="D3" s="1" t="s">
        <v>19</v>
      </c>
      <c r="E3" s="1">
        <v>33</v>
      </c>
      <c r="F3" s="1" t="s">
        <v>20</v>
      </c>
      <c r="G3" s="1">
        <v>30</v>
      </c>
      <c r="H3" s="1">
        <v>0</v>
      </c>
      <c r="I3" s="4" t="s">
        <v>18</v>
      </c>
      <c r="J3" s="1">
        <v>4</v>
      </c>
      <c r="K3" s="1">
        <v>66</v>
      </c>
      <c r="L3" s="1">
        <v>132.19999999999999</v>
      </c>
      <c r="M3" s="1">
        <v>0.7</v>
      </c>
      <c r="N3" s="1">
        <v>-2.0419999999999998</v>
      </c>
      <c r="O3" s="1">
        <v>5.68</v>
      </c>
      <c r="P3" s="1">
        <v>8090</v>
      </c>
      <c r="Q3" s="1">
        <v>2.3612020546122698</v>
      </c>
      <c r="R3">
        <v>3.8753506961317101</v>
      </c>
      <c r="S3">
        <f t="shared" ref="S3:S66" si="0">Q3-R3</f>
        <v>-1.5141486415194403</v>
      </c>
      <c r="T3">
        <f t="shared" ref="T3:T66" si="1">S3+1.64743</f>
        <v>0.13328135848055966</v>
      </c>
      <c r="U3">
        <f t="shared" ref="U3:U66" si="2">T3/2.96582</f>
        <v>4.4939125935006055E-2</v>
      </c>
      <c r="V3" s="61">
        <v>0.23630427555466299</v>
      </c>
    </row>
    <row r="4" spans="1:22" x14ac:dyDescent="0.4">
      <c r="A4" s="1">
        <v>3</v>
      </c>
      <c r="B4" s="5" t="s">
        <v>21</v>
      </c>
      <c r="C4" s="5">
        <v>29</v>
      </c>
      <c r="D4" s="5" t="s">
        <v>22</v>
      </c>
      <c r="E4" s="5">
        <v>29</v>
      </c>
      <c r="F4" s="5" t="s">
        <v>20</v>
      </c>
      <c r="G4" s="5">
        <v>20</v>
      </c>
      <c r="H4" s="5">
        <v>19.25</v>
      </c>
      <c r="I4" s="6" t="s">
        <v>18</v>
      </c>
      <c r="J4" s="5">
        <v>2.75</v>
      </c>
      <c r="K4" s="5">
        <v>58</v>
      </c>
      <c r="L4" s="5">
        <v>146.5</v>
      </c>
      <c r="M4" s="5">
        <v>0.2712</v>
      </c>
      <c r="N4" s="5">
        <v>0.32</v>
      </c>
      <c r="O4" s="1">
        <v>5.13</v>
      </c>
      <c r="P4" s="5">
        <v>36993.333333333299</v>
      </c>
      <c r="Q4" s="1">
        <v>3.02137699875848</v>
      </c>
      <c r="R4">
        <v>3.8753506961317101</v>
      </c>
      <c r="S4">
        <f t="shared" si="0"/>
        <v>-0.85397369737323015</v>
      </c>
      <c r="T4">
        <f t="shared" si="1"/>
        <v>0.7934563026267698</v>
      </c>
      <c r="U4">
        <f t="shared" si="2"/>
        <v>0.26753353292740956</v>
      </c>
      <c r="V4" s="61">
        <v>0.70331580804127947</v>
      </c>
    </row>
    <row r="5" spans="1:22" x14ac:dyDescent="0.4">
      <c r="A5" s="1">
        <v>4</v>
      </c>
      <c r="B5" s="1" t="s">
        <v>15</v>
      </c>
      <c r="C5" s="1">
        <v>25</v>
      </c>
      <c r="D5" s="1" t="s">
        <v>15</v>
      </c>
      <c r="E5" s="1">
        <v>25</v>
      </c>
      <c r="F5" s="1" t="s">
        <v>17</v>
      </c>
      <c r="G5" s="1">
        <v>10</v>
      </c>
      <c r="H5" s="1">
        <v>38.5</v>
      </c>
      <c r="I5" s="4" t="s">
        <v>18</v>
      </c>
      <c r="J5" s="1">
        <v>1.5</v>
      </c>
      <c r="K5" s="1">
        <v>50</v>
      </c>
      <c r="L5" s="1">
        <v>108.2</v>
      </c>
      <c r="M5" s="1">
        <v>0.28670000000000001</v>
      </c>
      <c r="N5" s="1">
        <v>-11.08</v>
      </c>
      <c r="O5" s="1">
        <v>5.78</v>
      </c>
      <c r="P5" s="1">
        <v>31116.666666666701</v>
      </c>
      <c r="Q5" s="1">
        <v>2.9462466005654302</v>
      </c>
      <c r="R5">
        <v>3.8753506961317101</v>
      </c>
      <c r="S5">
        <f t="shared" si="0"/>
        <v>-0.92910409556627993</v>
      </c>
      <c r="T5">
        <f t="shared" si="1"/>
        <v>0.71832590443372002</v>
      </c>
      <c r="U5">
        <f t="shared" si="2"/>
        <v>0.24220144999821974</v>
      </c>
      <c r="V5" s="61">
        <v>0.31922434119765186</v>
      </c>
    </row>
    <row r="6" spans="1:22" x14ac:dyDescent="0.4">
      <c r="A6" s="1">
        <v>5</v>
      </c>
      <c r="B6" s="1" t="s">
        <v>15</v>
      </c>
      <c r="C6" s="1">
        <v>29</v>
      </c>
      <c r="D6" s="1" t="s">
        <v>23</v>
      </c>
      <c r="E6" s="1">
        <v>29</v>
      </c>
      <c r="F6" s="1" t="s">
        <v>17</v>
      </c>
      <c r="G6" s="1">
        <v>20</v>
      </c>
      <c r="H6" s="1">
        <v>19.25</v>
      </c>
      <c r="I6" s="4" t="s">
        <v>18</v>
      </c>
      <c r="J6" s="1">
        <v>2.75</v>
      </c>
      <c r="K6" s="1">
        <v>58</v>
      </c>
      <c r="L6" s="1">
        <v>117.8</v>
      </c>
      <c r="M6" s="1">
        <v>0.2462</v>
      </c>
      <c r="N6" s="1">
        <v>-4.4909999999999997</v>
      </c>
      <c r="O6" s="1">
        <v>5.9</v>
      </c>
      <c r="P6" s="1">
        <v>39526.666666666701</v>
      </c>
      <c r="Q6" s="1">
        <v>3.0501437242892799</v>
      </c>
      <c r="R6">
        <v>3.8753506961317101</v>
      </c>
      <c r="S6">
        <f t="shared" si="0"/>
        <v>-0.82520697184243019</v>
      </c>
      <c r="T6">
        <f t="shared" si="1"/>
        <v>0.82222302815756976</v>
      </c>
      <c r="U6">
        <f t="shared" si="2"/>
        <v>0.27723295013101595</v>
      </c>
      <c r="V6" s="61">
        <v>0.42758824195026968</v>
      </c>
    </row>
    <row r="7" spans="1:22" x14ac:dyDescent="0.4">
      <c r="A7" s="1">
        <v>6</v>
      </c>
      <c r="B7" s="1" t="s">
        <v>19</v>
      </c>
      <c r="C7" s="1">
        <v>33</v>
      </c>
      <c r="D7" s="1" t="s">
        <v>19</v>
      </c>
      <c r="E7" s="1">
        <v>33</v>
      </c>
      <c r="F7" s="1" t="s">
        <v>20</v>
      </c>
      <c r="G7" s="1">
        <v>30</v>
      </c>
      <c r="H7" s="1">
        <v>0</v>
      </c>
      <c r="I7" s="4" t="s">
        <v>18</v>
      </c>
      <c r="J7" s="1">
        <v>4</v>
      </c>
      <c r="K7" s="1">
        <v>66</v>
      </c>
      <c r="L7" s="1">
        <v>158.19999999999999</v>
      </c>
      <c r="M7" s="1">
        <v>0.3327</v>
      </c>
      <c r="N7" s="1">
        <v>-6.0380000000000003</v>
      </c>
      <c r="O7" s="1">
        <v>6.38</v>
      </c>
      <c r="P7" s="1">
        <v>8929.3333333333303</v>
      </c>
      <c r="Q7" s="1">
        <v>2.4040725685444801</v>
      </c>
      <c r="R7">
        <v>3.8753506961317101</v>
      </c>
      <c r="S7">
        <f t="shared" si="0"/>
        <v>-1.47127812758723</v>
      </c>
      <c r="T7">
        <f t="shared" si="1"/>
        <v>0.17615187241276997</v>
      </c>
      <c r="U7">
        <f t="shared" si="2"/>
        <v>5.9393986288031636E-2</v>
      </c>
      <c r="V7" s="61">
        <v>9.7902559611955361E-2</v>
      </c>
    </row>
    <row r="8" spans="1:22" x14ac:dyDescent="0.4">
      <c r="A8" s="1">
        <v>7</v>
      </c>
      <c r="B8" s="1" t="s">
        <v>23</v>
      </c>
      <c r="C8" s="1">
        <v>25</v>
      </c>
      <c r="D8" s="1" t="s">
        <v>23</v>
      </c>
      <c r="E8" s="1">
        <v>25</v>
      </c>
      <c r="F8" s="1" t="s">
        <v>17</v>
      </c>
      <c r="G8" s="1">
        <v>10</v>
      </c>
      <c r="H8" s="1">
        <v>38.5</v>
      </c>
      <c r="I8" s="4" t="s">
        <v>18</v>
      </c>
      <c r="J8" s="1">
        <v>1.5</v>
      </c>
      <c r="K8" s="1">
        <v>50</v>
      </c>
      <c r="L8" s="1">
        <v>100.7</v>
      </c>
      <c r="M8" s="1">
        <v>0.20580000000000001</v>
      </c>
      <c r="N8" s="1">
        <v>-3.4489999999999998</v>
      </c>
      <c r="O8" s="1">
        <v>5.95</v>
      </c>
      <c r="P8" s="1">
        <v>106073.33333333299</v>
      </c>
      <c r="Q8" s="1">
        <v>3.4788597496835401</v>
      </c>
      <c r="R8">
        <v>3.8753506961317101</v>
      </c>
      <c r="S8">
        <f t="shared" si="0"/>
        <v>-0.39649094644817007</v>
      </c>
      <c r="T8">
        <f t="shared" si="1"/>
        <v>1.2509390535518299</v>
      </c>
      <c r="U8">
        <f t="shared" si="2"/>
        <v>0.4217852241713354</v>
      </c>
      <c r="V8" s="61">
        <v>0.28053477854989872</v>
      </c>
    </row>
    <row r="9" spans="1:22" x14ac:dyDescent="0.4">
      <c r="A9" s="1">
        <v>8</v>
      </c>
      <c r="B9" s="1" t="s">
        <v>16</v>
      </c>
      <c r="C9" s="1">
        <v>33</v>
      </c>
      <c r="D9" s="1" t="s">
        <v>19</v>
      </c>
      <c r="E9" s="1">
        <v>33</v>
      </c>
      <c r="F9" s="1" t="s">
        <v>17</v>
      </c>
      <c r="G9" s="1">
        <v>30</v>
      </c>
      <c r="H9" s="1">
        <v>0</v>
      </c>
      <c r="I9" s="4" t="s">
        <v>18</v>
      </c>
      <c r="J9" s="1">
        <v>4</v>
      </c>
      <c r="K9" s="1">
        <v>66</v>
      </c>
      <c r="L9" s="1">
        <v>89.74</v>
      </c>
      <c r="M9" s="1">
        <v>0.2681</v>
      </c>
      <c r="N9" s="1">
        <v>-14</v>
      </c>
      <c r="O9" s="1">
        <v>5.62</v>
      </c>
      <c r="P9" s="1">
        <v>8769.3333333333303</v>
      </c>
      <c r="Q9" s="1">
        <v>2.3962201114675601</v>
      </c>
      <c r="R9">
        <v>3.8753506961317101</v>
      </c>
      <c r="S9">
        <f t="shared" si="0"/>
        <v>-1.47913058466415</v>
      </c>
      <c r="T9">
        <f t="shared" si="1"/>
        <v>0.16829941533584991</v>
      </c>
      <c r="U9">
        <f t="shared" si="2"/>
        <v>5.6746335022304091E-2</v>
      </c>
      <c r="V9" s="61">
        <v>0.10942079287298773</v>
      </c>
    </row>
    <row r="10" spans="1:22" x14ac:dyDescent="0.4">
      <c r="A10" s="1">
        <v>9</v>
      </c>
      <c r="B10" s="1" t="s">
        <v>22</v>
      </c>
      <c r="C10" s="1">
        <v>25</v>
      </c>
      <c r="D10" s="1" t="s">
        <v>22</v>
      </c>
      <c r="E10" s="1">
        <v>25</v>
      </c>
      <c r="F10" s="1" t="s">
        <v>17</v>
      </c>
      <c r="G10" s="1">
        <v>10</v>
      </c>
      <c r="H10" s="1">
        <v>38.5</v>
      </c>
      <c r="I10" s="4" t="s">
        <v>18</v>
      </c>
      <c r="J10" s="1">
        <v>1.5</v>
      </c>
      <c r="K10" s="1">
        <v>50</v>
      </c>
      <c r="L10" s="1">
        <v>87.38</v>
      </c>
      <c r="M10" s="1">
        <v>0.2858</v>
      </c>
      <c r="N10" s="1">
        <v>-0.31759999999999999</v>
      </c>
      <c r="O10" s="1">
        <v>5.94</v>
      </c>
      <c r="P10" s="1">
        <v>22180</v>
      </c>
      <c r="Q10" s="1">
        <v>2.7992150748131399</v>
      </c>
      <c r="R10">
        <v>3.8753506961317101</v>
      </c>
      <c r="S10">
        <f t="shared" si="0"/>
        <v>-1.0761356213185702</v>
      </c>
      <c r="T10">
        <f t="shared" si="1"/>
        <v>0.57129437868142974</v>
      </c>
      <c r="U10">
        <f t="shared" si="2"/>
        <v>0.19262611307544955</v>
      </c>
      <c r="V10" s="61">
        <v>0.46239397612544308</v>
      </c>
    </row>
    <row r="11" spans="1:22" x14ac:dyDescent="0.4">
      <c r="A11" s="1">
        <v>10</v>
      </c>
      <c r="B11" s="1" t="s">
        <v>15</v>
      </c>
      <c r="C11" s="1">
        <v>33</v>
      </c>
      <c r="D11" s="1" t="s">
        <v>22</v>
      </c>
      <c r="E11" s="1">
        <v>33</v>
      </c>
      <c r="F11" s="1" t="s">
        <v>20</v>
      </c>
      <c r="G11" s="1">
        <v>30</v>
      </c>
      <c r="H11" s="1">
        <v>0</v>
      </c>
      <c r="I11" s="4" t="s">
        <v>18</v>
      </c>
      <c r="J11" s="1">
        <v>4</v>
      </c>
      <c r="K11" s="1">
        <v>66</v>
      </c>
      <c r="L11" s="1">
        <v>194.2</v>
      </c>
      <c r="M11" s="1">
        <v>0.73860000000000003</v>
      </c>
      <c r="N11" s="1">
        <v>-1.8689999999999998E-2</v>
      </c>
      <c r="O11" s="1">
        <v>5.56</v>
      </c>
      <c r="P11" s="1">
        <v>18816.666666666701</v>
      </c>
      <c r="Q11" s="1">
        <v>2.7277962245413199</v>
      </c>
      <c r="R11">
        <v>3.8753506961317101</v>
      </c>
      <c r="S11">
        <f t="shared" si="0"/>
        <v>-1.1475544715903903</v>
      </c>
      <c r="T11">
        <f t="shared" si="1"/>
        <v>0.49987552840960969</v>
      </c>
      <c r="U11">
        <f t="shared" si="2"/>
        <v>0.16854547086795885</v>
      </c>
      <c r="V11" s="61">
        <v>0.23149119688400341</v>
      </c>
    </row>
    <row r="12" spans="1:22" x14ac:dyDescent="0.4">
      <c r="A12" s="1">
        <v>11</v>
      </c>
      <c r="B12" s="1" t="s">
        <v>22</v>
      </c>
      <c r="C12" s="1">
        <v>29</v>
      </c>
      <c r="D12" s="1" t="s">
        <v>16</v>
      </c>
      <c r="E12" s="1">
        <v>29</v>
      </c>
      <c r="F12" s="1" t="s">
        <v>20</v>
      </c>
      <c r="G12" s="1">
        <v>20</v>
      </c>
      <c r="H12" s="1">
        <v>19.25</v>
      </c>
      <c r="I12" s="4" t="s">
        <v>18</v>
      </c>
      <c r="J12" s="1">
        <v>2.75</v>
      </c>
      <c r="K12" s="1">
        <v>58</v>
      </c>
      <c r="L12" s="1">
        <v>94.87</v>
      </c>
      <c r="M12" s="1">
        <v>0.36259999999999998</v>
      </c>
      <c r="N12" s="1">
        <v>-0.3115</v>
      </c>
      <c r="O12" s="1">
        <v>5.53</v>
      </c>
      <c r="P12" s="1">
        <v>17403.333333333299</v>
      </c>
      <c r="Q12" s="1">
        <v>2.6938859714910501</v>
      </c>
      <c r="R12">
        <v>3.8753506961317101</v>
      </c>
      <c r="S12">
        <f t="shared" si="0"/>
        <v>-1.18146472464066</v>
      </c>
      <c r="T12">
        <f t="shared" si="1"/>
        <v>0.46596527535933996</v>
      </c>
      <c r="U12">
        <f t="shared" si="2"/>
        <v>0.15711178539471038</v>
      </c>
      <c r="V12" s="61">
        <v>0.1416370936902337</v>
      </c>
    </row>
    <row r="13" spans="1:22" x14ac:dyDescent="0.4">
      <c r="A13" s="1">
        <v>12</v>
      </c>
      <c r="B13" s="1" t="s">
        <v>22</v>
      </c>
      <c r="C13" s="1">
        <v>29</v>
      </c>
      <c r="D13" s="1" t="s">
        <v>22</v>
      </c>
      <c r="E13" s="1">
        <v>29</v>
      </c>
      <c r="F13" s="1" t="s">
        <v>17</v>
      </c>
      <c r="G13" s="1">
        <v>20</v>
      </c>
      <c r="H13" s="1">
        <v>19.25</v>
      </c>
      <c r="I13" s="4" t="s">
        <v>18</v>
      </c>
      <c r="J13" s="1">
        <v>2.75</v>
      </c>
      <c r="K13" s="1">
        <v>58</v>
      </c>
      <c r="L13" s="1">
        <v>89.87</v>
      </c>
      <c r="M13" s="1">
        <v>0.28010000000000002</v>
      </c>
      <c r="N13" s="1">
        <v>3.1819999999999999</v>
      </c>
      <c r="O13" s="1">
        <v>4.49</v>
      </c>
      <c r="P13" s="1">
        <v>8514.3333333333303</v>
      </c>
      <c r="Q13" s="1">
        <v>2.3834041816592402</v>
      </c>
      <c r="R13">
        <v>3.8753506961317101</v>
      </c>
      <c r="S13">
        <f t="shared" si="0"/>
        <v>-1.49194651447247</v>
      </c>
      <c r="T13">
        <f t="shared" si="1"/>
        <v>0.15548348552753</v>
      </c>
      <c r="U13">
        <f t="shared" si="2"/>
        <v>5.242512543833746E-2</v>
      </c>
      <c r="V13" s="61">
        <v>0.23419624930781577</v>
      </c>
    </row>
    <row r="14" spans="1:22" x14ac:dyDescent="0.4">
      <c r="A14" s="1">
        <v>13</v>
      </c>
      <c r="B14" s="1" t="s">
        <v>19</v>
      </c>
      <c r="C14" s="1">
        <v>29</v>
      </c>
      <c r="D14" s="1" t="s">
        <v>15</v>
      </c>
      <c r="E14" s="1">
        <v>29</v>
      </c>
      <c r="F14" s="1" t="s">
        <v>17</v>
      </c>
      <c r="G14" s="1">
        <v>20</v>
      </c>
      <c r="H14" s="1">
        <v>19.25</v>
      </c>
      <c r="I14" s="4" t="s">
        <v>18</v>
      </c>
      <c r="J14" s="1">
        <v>2.75</v>
      </c>
      <c r="K14" s="1">
        <v>58</v>
      </c>
      <c r="L14" s="1">
        <v>93.04</v>
      </c>
      <c r="M14" s="1">
        <v>0.2326</v>
      </c>
      <c r="N14" s="1">
        <v>-7.7329999999999997</v>
      </c>
      <c r="O14" s="1">
        <v>6</v>
      </c>
      <c r="P14" s="1">
        <v>39673.333333333299</v>
      </c>
      <c r="Q14" s="1">
        <v>3.05175222420911</v>
      </c>
      <c r="R14">
        <v>3.8753506961317101</v>
      </c>
      <c r="S14">
        <f t="shared" si="0"/>
        <v>-0.82359847192260016</v>
      </c>
      <c r="T14">
        <f t="shared" si="1"/>
        <v>0.82383152807739979</v>
      </c>
      <c r="U14">
        <f t="shared" si="2"/>
        <v>0.27777529589705369</v>
      </c>
      <c r="V14" s="61">
        <v>6.8350592505676752E-2</v>
      </c>
    </row>
    <row r="15" spans="1:22" x14ac:dyDescent="0.4">
      <c r="A15" s="1">
        <v>14</v>
      </c>
      <c r="B15" s="1" t="s">
        <v>15</v>
      </c>
      <c r="C15" s="1">
        <v>29</v>
      </c>
      <c r="D15" s="1" t="s">
        <v>15</v>
      </c>
      <c r="E15" s="1">
        <v>29</v>
      </c>
      <c r="F15" s="1" t="s">
        <v>17</v>
      </c>
      <c r="G15" s="1">
        <v>20</v>
      </c>
      <c r="H15" s="1">
        <v>19.25</v>
      </c>
      <c r="I15" s="4" t="s">
        <v>18</v>
      </c>
      <c r="J15" s="1">
        <v>2.75</v>
      </c>
      <c r="K15" s="1">
        <v>58</v>
      </c>
      <c r="L15" s="1">
        <v>90.11</v>
      </c>
      <c r="M15" s="1">
        <v>0.1857</v>
      </c>
      <c r="N15" s="1">
        <v>-16.940000000000001</v>
      </c>
      <c r="O15" s="1">
        <v>6.15</v>
      </c>
      <c r="P15" s="1">
        <v>22700</v>
      </c>
      <c r="Q15" s="1">
        <v>2.8092793901931201</v>
      </c>
      <c r="R15">
        <v>3.8753506961317101</v>
      </c>
      <c r="S15">
        <f t="shared" si="0"/>
        <v>-1.06607130593859</v>
      </c>
      <c r="T15">
        <f t="shared" si="1"/>
        <v>0.58135869406140994</v>
      </c>
      <c r="U15">
        <f t="shared" si="2"/>
        <v>0.19601954739714816</v>
      </c>
      <c r="V15" s="61">
        <v>0.15325622514968951</v>
      </c>
    </row>
    <row r="16" spans="1:22" x14ac:dyDescent="0.4">
      <c r="A16" s="1">
        <v>15</v>
      </c>
      <c r="B16" s="1" t="s">
        <v>19</v>
      </c>
      <c r="C16" s="1">
        <v>29</v>
      </c>
      <c r="D16" s="1" t="s">
        <v>21</v>
      </c>
      <c r="E16" s="1">
        <v>29</v>
      </c>
      <c r="F16" s="1" t="s">
        <v>17</v>
      </c>
      <c r="G16" s="1">
        <v>20</v>
      </c>
      <c r="H16" s="1">
        <v>19.25</v>
      </c>
      <c r="I16" s="4" t="s">
        <v>18</v>
      </c>
      <c r="J16" s="1">
        <v>2.75</v>
      </c>
      <c r="K16" s="1">
        <v>58</v>
      </c>
      <c r="L16" s="1">
        <v>132.19999999999999</v>
      </c>
      <c r="M16" s="1">
        <v>0.14510000000000001</v>
      </c>
      <c r="N16" s="1">
        <v>-8.2349999999999994</v>
      </c>
      <c r="O16" s="1">
        <v>5.54</v>
      </c>
      <c r="P16" s="1">
        <v>70016.666666666701</v>
      </c>
      <c r="Q16" s="1">
        <v>3.2984549641543501</v>
      </c>
      <c r="R16">
        <v>3.8753506961317101</v>
      </c>
      <c r="S16">
        <f t="shared" si="0"/>
        <v>-0.57689573197735999</v>
      </c>
      <c r="T16">
        <f t="shared" si="1"/>
        <v>1.07053426802264</v>
      </c>
      <c r="U16">
        <f t="shared" si="2"/>
        <v>0.36095726241735504</v>
      </c>
      <c r="V16" s="61">
        <v>0.44753751152615523</v>
      </c>
    </row>
    <row r="17" spans="1:24" x14ac:dyDescent="0.4">
      <c r="A17" s="1">
        <v>16</v>
      </c>
      <c r="B17" s="1" t="s">
        <v>15</v>
      </c>
      <c r="C17" s="1">
        <v>33</v>
      </c>
      <c r="D17" s="1" t="s">
        <v>19</v>
      </c>
      <c r="E17" s="1">
        <v>33</v>
      </c>
      <c r="F17" s="1" t="s">
        <v>17</v>
      </c>
      <c r="G17" s="1">
        <v>30</v>
      </c>
      <c r="H17" s="1">
        <v>0</v>
      </c>
      <c r="I17" s="4" t="s">
        <v>18</v>
      </c>
      <c r="J17" s="1">
        <v>4</v>
      </c>
      <c r="K17" s="1">
        <v>66</v>
      </c>
      <c r="L17" s="1">
        <v>94.95</v>
      </c>
      <c r="M17" s="1">
        <v>0.37690000000000001</v>
      </c>
      <c r="N17" s="1">
        <v>-23.62</v>
      </c>
      <c r="O17" s="1">
        <v>4</v>
      </c>
      <c r="P17" s="1">
        <v>22270</v>
      </c>
      <c r="Q17" s="1">
        <v>2.8009737500340401</v>
      </c>
      <c r="R17">
        <v>3.8753506961317101</v>
      </c>
      <c r="S17">
        <f t="shared" si="0"/>
        <v>-1.07437694609767</v>
      </c>
      <c r="T17">
        <f t="shared" si="1"/>
        <v>0.57305305390232997</v>
      </c>
      <c r="U17">
        <f t="shared" si="2"/>
        <v>0.19321909418047284</v>
      </c>
      <c r="V17" s="61">
        <v>0.23741481926712069</v>
      </c>
    </row>
    <row r="18" spans="1:24" x14ac:dyDescent="0.4">
      <c r="A18" s="51">
        <v>17</v>
      </c>
      <c r="B18" s="51" t="s">
        <v>23</v>
      </c>
      <c r="C18" s="51">
        <v>25</v>
      </c>
      <c r="D18" s="51" t="s">
        <v>23</v>
      </c>
      <c r="E18" s="51">
        <v>25</v>
      </c>
      <c r="F18" s="51" t="s">
        <v>20</v>
      </c>
      <c r="G18" s="51">
        <v>10</v>
      </c>
      <c r="H18" s="51">
        <v>38.5</v>
      </c>
      <c r="I18" s="52" t="s">
        <v>18</v>
      </c>
      <c r="J18" s="51">
        <v>1.5</v>
      </c>
      <c r="K18" s="51">
        <v>50</v>
      </c>
      <c r="L18" s="51">
        <v>123.9</v>
      </c>
      <c r="M18" s="51">
        <v>8.6249999999999993E-2</v>
      </c>
      <c r="N18" s="51">
        <v>-10.23</v>
      </c>
      <c r="O18" s="63">
        <v>6.27</v>
      </c>
      <c r="P18" s="51">
        <v>264300</v>
      </c>
      <c r="Q18" s="51">
        <v>3.8753506961317101</v>
      </c>
      <c r="R18">
        <v>3.8753506961317101</v>
      </c>
      <c r="S18">
        <f t="shared" si="0"/>
        <v>0</v>
      </c>
      <c r="T18">
        <f t="shared" si="1"/>
        <v>1.6474299999999999</v>
      </c>
      <c r="U18">
        <f t="shared" si="2"/>
        <v>0.55547201111328404</v>
      </c>
      <c r="V18" s="61">
        <v>0.46520383817099581</v>
      </c>
    </row>
    <row r="19" spans="1:24" x14ac:dyDescent="0.4">
      <c r="A19" s="1">
        <v>18</v>
      </c>
      <c r="B19" s="7" t="s">
        <v>21</v>
      </c>
      <c r="C19" s="7">
        <v>25</v>
      </c>
      <c r="D19" s="7" t="s">
        <v>22</v>
      </c>
      <c r="E19" s="1">
        <v>25</v>
      </c>
      <c r="F19" s="1" t="s">
        <v>20</v>
      </c>
      <c r="G19" s="1">
        <v>10</v>
      </c>
      <c r="H19" s="1">
        <v>38.5</v>
      </c>
      <c r="I19" s="4" t="s">
        <v>18</v>
      </c>
      <c r="J19" s="1">
        <v>1.5</v>
      </c>
      <c r="K19" s="1">
        <v>50</v>
      </c>
      <c r="L19" s="1">
        <v>127.3</v>
      </c>
      <c r="M19" s="1">
        <v>0.21740000000000001</v>
      </c>
      <c r="N19" s="1">
        <v>1.413</v>
      </c>
      <c r="O19" s="1">
        <v>6.48</v>
      </c>
      <c r="P19" s="1">
        <v>58993.333333333299</v>
      </c>
      <c r="Q19" s="1">
        <v>3.2240564690466398</v>
      </c>
      <c r="R19">
        <v>3.8753506961317101</v>
      </c>
      <c r="S19">
        <f t="shared" si="0"/>
        <v>-0.65129422708507034</v>
      </c>
      <c r="T19">
        <f t="shared" si="1"/>
        <v>0.99613577291492961</v>
      </c>
      <c r="U19">
        <f t="shared" si="2"/>
        <v>0.33587195882249415</v>
      </c>
      <c r="V19" s="61">
        <v>0.56514716042907964</v>
      </c>
    </row>
    <row r="20" spans="1:24" x14ac:dyDescent="0.4">
      <c r="A20" s="1">
        <v>19</v>
      </c>
      <c r="B20" s="1" t="s">
        <v>22</v>
      </c>
      <c r="C20" s="1">
        <v>25</v>
      </c>
      <c r="D20" s="1" t="s">
        <v>22</v>
      </c>
      <c r="E20" s="1">
        <v>25</v>
      </c>
      <c r="F20" s="1" t="s">
        <v>20</v>
      </c>
      <c r="G20" s="1">
        <v>10</v>
      </c>
      <c r="H20" s="1">
        <v>38.5</v>
      </c>
      <c r="I20" s="4" t="s">
        <v>18</v>
      </c>
      <c r="J20" s="1">
        <v>1.5</v>
      </c>
      <c r="K20" s="1">
        <v>50</v>
      </c>
      <c r="L20" s="1">
        <v>100.1</v>
      </c>
      <c r="M20" s="1">
        <v>0.31879999999999997</v>
      </c>
      <c r="N20" s="1">
        <v>2.6139999999999999</v>
      </c>
      <c r="O20" s="1">
        <v>6.48</v>
      </c>
      <c r="P20" s="1">
        <v>24513.333333333299</v>
      </c>
      <c r="Q20" s="1">
        <v>2.84265590381318</v>
      </c>
      <c r="R20">
        <v>3.8753506961317101</v>
      </c>
      <c r="S20">
        <f t="shared" si="0"/>
        <v>-1.0326947923185301</v>
      </c>
      <c r="T20">
        <f t="shared" si="1"/>
        <v>0.61473520768146983</v>
      </c>
      <c r="U20">
        <f t="shared" si="2"/>
        <v>0.20727326934253254</v>
      </c>
      <c r="V20" s="61">
        <v>0.25721501519506074</v>
      </c>
    </row>
    <row r="21" spans="1:24" x14ac:dyDescent="0.4">
      <c r="A21" s="1">
        <v>20</v>
      </c>
      <c r="B21" s="1" t="s">
        <v>22</v>
      </c>
      <c r="C21" s="1">
        <v>33</v>
      </c>
      <c r="D21" s="1" t="s">
        <v>16</v>
      </c>
      <c r="E21" s="1">
        <v>33</v>
      </c>
      <c r="F21" s="1" t="s">
        <v>17</v>
      </c>
      <c r="G21" s="1">
        <v>30</v>
      </c>
      <c r="H21" s="1">
        <v>0</v>
      </c>
      <c r="I21" s="4" t="s">
        <v>18</v>
      </c>
      <c r="J21" s="1">
        <v>4</v>
      </c>
      <c r="K21" s="1">
        <v>66</v>
      </c>
      <c r="L21" s="1">
        <v>113.7</v>
      </c>
      <c r="M21" s="1">
        <v>0.3836</v>
      </c>
      <c r="N21" s="1">
        <v>-2.6789999999999998</v>
      </c>
      <c r="O21" s="1">
        <v>7.02</v>
      </c>
      <c r="P21" s="1">
        <v>17186.666666666701</v>
      </c>
      <c r="Q21" s="1">
        <v>2.6884451869617001</v>
      </c>
      <c r="R21">
        <v>3.8753506961317101</v>
      </c>
      <c r="S21">
        <f t="shared" si="0"/>
        <v>-1.18690550917001</v>
      </c>
      <c r="T21">
        <f t="shared" si="1"/>
        <v>0.46052449082998992</v>
      </c>
      <c r="U21">
        <f t="shared" si="2"/>
        <v>0.15527728952869355</v>
      </c>
      <c r="V21" s="61">
        <v>0.20451895263081507</v>
      </c>
    </row>
    <row r="22" spans="1:24" x14ac:dyDescent="0.4">
      <c r="A22" s="1">
        <v>21</v>
      </c>
      <c r="B22" s="1" t="s">
        <v>23</v>
      </c>
      <c r="C22" s="1">
        <v>25</v>
      </c>
      <c r="D22" s="1" t="s">
        <v>15</v>
      </c>
      <c r="E22" s="1">
        <v>25</v>
      </c>
      <c r="F22" s="1" t="s">
        <v>20</v>
      </c>
      <c r="G22" s="1">
        <v>10</v>
      </c>
      <c r="H22" s="1">
        <v>38.5</v>
      </c>
      <c r="I22" s="4" t="s">
        <v>18</v>
      </c>
      <c r="J22" s="1">
        <v>1.5</v>
      </c>
      <c r="K22" s="1">
        <v>50</v>
      </c>
      <c r="L22" s="1">
        <v>926.3</v>
      </c>
      <c r="M22" s="1">
        <v>0.73850000000000005</v>
      </c>
      <c r="N22" s="1">
        <v>-12.42</v>
      </c>
      <c r="O22" s="1">
        <v>6.54</v>
      </c>
      <c r="P22" s="1">
        <v>32046.666666666701</v>
      </c>
      <c r="Q22" s="1">
        <v>2.9590363960729702</v>
      </c>
      <c r="R22">
        <v>3.8753506961317101</v>
      </c>
      <c r="S22">
        <f t="shared" si="0"/>
        <v>-0.91631430005873993</v>
      </c>
      <c r="T22">
        <f t="shared" si="1"/>
        <v>0.73111569994126002</v>
      </c>
      <c r="U22">
        <f t="shared" si="2"/>
        <v>0.24651384775247995</v>
      </c>
      <c r="V22" s="61">
        <v>0.48909270265969651</v>
      </c>
      <c r="X22">
        <v>-1.6474342405938902</v>
      </c>
    </row>
    <row r="23" spans="1:24" x14ac:dyDescent="0.4">
      <c r="A23" s="1">
        <v>22</v>
      </c>
      <c r="B23" s="1" t="s">
        <v>22</v>
      </c>
      <c r="C23" s="1">
        <v>25</v>
      </c>
      <c r="D23" s="1" t="s">
        <v>23</v>
      </c>
      <c r="E23" s="1">
        <v>25</v>
      </c>
      <c r="F23" s="1" t="s">
        <v>20</v>
      </c>
      <c r="G23" s="1">
        <v>10</v>
      </c>
      <c r="H23" s="1">
        <v>38.5</v>
      </c>
      <c r="I23" s="4" t="s">
        <v>18</v>
      </c>
      <c r="J23" s="1">
        <v>1.5</v>
      </c>
      <c r="K23" s="1">
        <v>50</v>
      </c>
      <c r="L23" s="1">
        <v>119.3</v>
      </c>
      <c r="M23" s="1">
        <v>0.36109999999999998</v>
      </c>
      <c r="N23" s="1">
        <v>-0.5131</v>
      </c>
      <c r="O23" s="1">
        <v>6.5</v>
      </c>
      <c r="P23" s="1">
        <v>77160</v>
      </c>
      <c r="Q23" s="1">
        <v>3.34064575197185</v>
      </c>
      <c r="R23">
        <v>3.8753506961317101</v>
      </c>
      <c r="S23">
        <f t="shared" si="0"/>
        <v>-0.53470494415986014</v>
      </c>
      <c r="T23">
        <f t="shared" si="1"/>
        <v>1.1127250558401398</v>
      </c>
      <c r="U23">
        <f t="shared" si="2"/>
        <v>0.37518293619981652</v>
      </c>
      <c r="V23" s="61">
        <v>0.55613797344588134</v>
      </c>
    </row>
    <row r="24" spans="1:24" x14ac:dyDescent="0.4">
      <c r="A24" s="1">
        <v>23</v>
      </c>
      <c r="B24" s="1" t="s">
        <v>23</v>
      </c>
      <c r="C24" s="1">
        <v>33</v>
      </c>
      <c r="D24" s="1" t="s">
        <v>19</v>
      </c>
      <c r="E24" s="1">
        <v>33</v>
      </c>
      <c r="F24" s="1" t="s">
        <v>20</v>
      </c>
      <c r="G24" s="1">
        <v>30</v>
      </c>
      <c r="H24" s="1">
        <v>0</v>
      </c>
      <c r="I24" s="4" t="s">
        <v>18</v>
      </c>
      <c r="J24" s="1">
        <v>4</v>
      </c>
      <c r="K24" s="1">
        <v>66</v>
      </c>
      <c r="L24" s="1">
        <v>231.1</v>
      </c>
      <c r="M24" s="1">
        <v>0.63570000000000004</v>
      </c>
      <c r="N24" s="1">
        <v>-6.2510000000000003</v>
      </c>
      <c r="O24" s="1">
        <v>6.57</v>
      </c>
      <c r="P24" s="1">
        <v>28173.333333333299</v>
      </c>
      <c r="Q24" s="1">
        <v>2.90309176666061</v>
      </c>
      <c r="R24">
        <v>3.8753506961317101</v>
      </c>
      <c r="S24">
        <f t="shared" si="0"/>
        <v>-0.97225892947110015</v>
      </c>
      <c r="T24">
        <f t="shared" si="1"/>
        <v>0.6751710705288998</v>
      </c>
      <c r="U24">
        <f t="shared" si="2"/>
        <v>0.22765072409279721</v>
      </c>
      <c r="V24" s="61">
        <v>0.21285822227398266</v>
      </c>
    </row>
    <row r="25" spans="1:24" x14ac:dyDescent="0.4">
      <c r="A25" s="1">
        <v>24</v>
      </c>
      <c r="B25" s="1" t="s">
        <v>15</v>
      </c>
      <c r="C25" s="1">
        <v>25</v>
      </c>
      <c r="D25" s="1" t="s">
        <v>19</v>
      </c>
      <c r="E25" s="1">
        <v>25</v>
      </c>
      <c r="F25" s="1" t="s">
        <v>17</v>
      </c>
      <c r="G25" s="1">
        <v>10</v>
      </c>
      <c r="H25" s="1">
        <v>38.5</v>
      </c>
      <c r="I25" s="4" t="s">
        <v>18</v>
      </c>
      <c r="J25" s="1">
        <v>1.5</v>
      </c>
      <c r="K25" s="1">
        <v>50</v>
      </c>
      <c r="L25" s="1">
        <v>105.3</v>
      </c>
      <c r="M25" s="1">
        <v>0.13569999999999999</v>
      </c>
      <c r="N25" s="1">
        <v>-3.9060000000000001</v>
      </c>
      <c r="O25" s="1">
        <v>5.88</v>
      </c>
      <c r="P25" s="1">
        <v>75836.666666666701</v>
      </c>
      <c r="Q25" s="1">
        <v>3.33313276872126</v>
      </c>
      <c r="R25">
        <v>3.8753506961317101</v>
      </c>
      <c r="S25">
        <f t="shared" si="0"/>
        <v>-0.54221792741045016</v>
      </c>
      <c r="T25">
        <f t="shared" si="1"/>
        <v>1.1052120725895498</v>
      </c>
      <c r="U25">
        <f t="shared" si="2"/>
        <v>0.37264974698044717</v>
      </c>
      <c r="V25" s="61">
        <v>0.19440272152295127</v>
      </c>
    </row>
    <row r="26" spans="1:24" x14ac:dyDescent="0.4">
      <c r="A26" s="1">
        <v>25</v>
      </c>
      <c r="B26" s="1" t="s">
        <v>19</v>
      </c>
      <c r="C26" s="1">
        <v>33</v>
      </c>
      <c r="D26" s="1" t="s">
        <v>23</v>
      </c>
      <c r="E26" s="1">
        <v>33</v>
      </c>
      <c r="F26" s="1" t="s">
        <v>17</v>
      </c>
      <c r="G26" s="1">
        <v>30</v>
      </c>
      <c r="H26" s="1">
        <v>0</v>
      </c>
      <c r="I26" s="4" t="s">
        <v>18</v>
      </c>
      <c r="J26" s="1">
        <v>4</v>
      </c>
      <c r="K26" s="1">
        <v>66</v>
      </c>
      <c r="L26" s="1">
        <v>107</v>
      </c>
      <c r="M26" s="1">
        <v>0.11459999999999999</v>
      </c>
      <c r="N26" s="1">
        <v>-6.516</v>
      </c>
      <c r="O26" s="1"/>
      <c r="P26" s="1">
        <v>131840</v>
      </c>
      <c r="Q26" s="1">
        <v>3.5733007273530402</v>
      </c>
      <c r="R26">
        <v>3.8753506961317101</v>
      </c>
      <c r="S26">
        <f t="shared" si="0"/>
        <v>-0.30204996877866996</v>
      </c>
      <c r="T26">
        <f t="shared" si="1"/>
        <v>1.34538003122133</v>
      </c>
      <c r="U26">
        <f t="shared" si="2"/>
        <v>0.45362834940128871</v>
      </c>
      <c r="V26" s="61">
        <v>0.21424143888008543</v>
      </c>
    </row>
    <row r="27" spans="1:24" x14ac:dyDescent="0.4">
      <c r="A27" s="1">
        <v>26</v>
      </c>
      <c r="B27" s="1" t="s">
        <v>23</v>
      </c>
      <c r="C27" s="1">
        <v>25</v>
      </c>
      <c r="D27" s="1" t="s">
        <v>19</v>
      </c>
      <c r="E27" s="1">
        <v>25</v>
      </c>
      <c r="F27" s="1" t="s">
        <v>17</v>
      </c>
      <c r="G27" s="1">
        <v>10</v>
      </c>
      <c r="H27" s="1">
        <v>38.5</v>
      </c>
      <c r="I27" s="4" t="s">
        <v>18</v>
      </c>
      <c r="J27" s="1">
        <v>1.5</v>
      </c>
      <c r="K27" s="1">
        <v>50</v>
      </c>
      <c r="L27" s="1">
        <v>92.63</v>
      </c>
      <c r="M27" s="1">
        <v>0.1482</v>
      </c>
      <c r="N27" s="1">
        <v>-2.2829999999999999</v>
      </c>
      <c r="O27" s="1">
        <v>6.47</v>
      </c>
      <c r="P27" s="1">
        <v>143966.66666666701</v>
      </c>
      <c r="Q27" s="1">
        <v>3.6115154823278401</v>
      </c>
      <c r="R27">
        <v>3.8753506961317101</v>
      </c>
      <c r="S27">
        <f t="shared" si="0"/>
        <v>-0.26383521380386998</v>
      </c>
      <c r="T27">
        <f t="shared" si="1"/>
        <v>1.38359478619613</v>
      </c>
      <c r="U27">
        <f t="shared" si="2"/>
        <v>0.46651340479062453</v>
      </c>
      <c r="V27" s="61">
        <v>0.34171029854470791</v>
      </c>
    </row>
    <row r="28" spans="1:24" x14ac:dyDescent="0.4">
      <c r="A28" s="1">
        <v>27</v>
      </c>
      <c r="B28" s="5" t="s">
        <v>21</v>
      </c>
      <c r="C28" s="5">
        <v>25</v>
      </c>
      <c r="D28" s="5" t="s">
        <v>23</v>
      </c>
      <c r="E28" s="5">
        <v>25</v>
      </c>
      <c r="F28" s="5" t="s">
        <v>17</v>
      </c>
      <c r="G28" s="5">
        <v>10</v>
      </c>
      <c r="H28" s="5">
        <v>38.5</v>
      </c>
      <c r="I28" s="6" t="s">
        <v>18</v>
      </c>
      <c r="J28" s="5">
        <v>1.5</v>
      </c>
      <c r="K28" s="5">
        <v>50</v>
      </c>
      <c r="L28" s="5">
        <v>137.5</v>
      </c>
      <c r="M28" s="5">
        <v>7.0400000000000004E-2</v>
      </c>
      <c r="N28" s="5">
        <v>-7.3659999999999997</v>
      </c>
      <c r="O28" s="1"/>
      <c r="P28" s="5">
        <v>168500</v>
      </c>
      <c r="Q28" s="1">
        <v>3.6798534382073602</v>
      </c>
      <c r="R28">
        <v>3.8753506961317101</v>
      </c>
      <c r="S28">
        <f t="shared" si="0"/>
        <v>-0.19549725792434991</v>
      </c>
      <c r="T28">
        <f t="shared" si="1"/>
        <v>1.45193274207565</v>
      </c>
      <c r="U28">
        <f t="shared" si="2"/>
        <v>0.48955524680380136</v>
      </c>
      <c r="V28" s="61">
        <v>0.49620799438646745</v>
      </c>
    </row>
    <row r="29" spans="1:24" x14ac:dyDescent="0.4">
      <c r="A29" s="1">
        <v>28</v>
      </c>
      <c r="B29" s="1" t="s">
        <v>16</v>
      </c>
      <c r="C29" s="1">
        <v>25</v>
      </c>
      <c r="D29" s="1" t="s">
        <v>15</v>
      </c>
      <c r="E29" s="1">
        <v>25</v>
      </c>
      <c r="F29" s="1" t="s">
        <v>20</v>
      </c>
      <c r="G29" s="1">
        <v>10</v>
      </c>
      <c r="H29" s="1">
        <v>38.5</v>
      </c>
      <c r="I29" s="4" t="s">
        <v>18</v>
      </c>
      <c r="J29" s="1">
        <v>1.5</v>
      </c>
      <c r="K29" s="1">
        <v>50</v>
      </c>
      <c r="L29" s="1">
        <v>125.9</v>
      </c>
      <c r="M29" s="1">
        <v>3.0210000000000001E-2</v>
      </c>
      <c r="N29" s="1">
        <v>-2.339</v>
      </c>
      <c r="O29" s="1">
        <v>5.89</v>
      </c>
      <c r="P29" s="1">
        <v>85436.666666666701</v>
      </c>
      <c r="Q29" s="1">
        <v>3.38489782890507</v>
      </c>
      <c r="R29">
        <v>3.8753506961317101</v>
      </c>
      <c r="S29">
        <f t="shared" si="0"/>
        <v>-0.49045286722664017</v>
      </c>
      <c r="T29">
        <f t="shared" si="1"/>
        <v>1.1569771327733598</v>
      </c>
      <c r="U29">
        <f t="shared" si="2"/>
        <v>0.3901036248907081</v>
      </c>
      <c r="V29" s="61">
        <v>0.35769096921820226</v>
      </c>
    </row>
    <row r="30" spans="1:24" x14ac:dyDescent="0.4">
      <c r="A30" s="1">
        <v>29</v>
      </c>
      <c r="B30" s="1" t="s">
        <v>23</v>
      </c>
      <c r="C30" s="1">
        <v>33</v>
      </c>
      <c r="D30" s="1" t="s">
        <v>22</v>
      </c>
      <c r="E30" s="1">
        <v>33</v>
      </c>
      <c r="F30" s="1" t="s">
        <v>20</v>
      </c>
      <c r="G30" s="1">
        <v>30</v>
      </c>
      <c r="H30" s="1">
        <v>0</v>
      </c>
      <c r="I30" s="4" t="s">
        <v>18</v>
      </c>
      <c r="J30" s="1">
        <v>4</v>
      </c>
      <c r="K30" s="1">
        <v>66</v>
      </c>
      <c r="L30" s="1">
        <v>128.9</v>
      </c>
      <c r="M30" s="1">
        <v>0.47770000000000001</v>
      </c>
      <c r="N30" s="1">
        <v>0.25800000000000001</v>
      </c>
      <c r="O30" s="1"/>
      <c r="P30" s="1">
        <v>92156.666666666701</v>
      </c>
      <c r="Q30" s="1">
        <v>3.4177802908059798</v>
      </c>
      <c r="R30">
        <v>3.8753506961317101</v>
      </c>
      <c r="S30">
        <f t="shared" si="0"/>
        <v>-0.45757040532573034</v>
      </c>
      <c r="T30">
        <f t="shared" si="1"/>
        <v>1.1898595946742696</v>
      </c>
      <c r="U30">
        <f t="shared" si="2"/>
        <v>0.40119076500740763</v>
      </c>
      <c r="V30" s="61">
        <v>0.5186980689050561</v>
      </c>
    </row>
    <row r="31" spans="1:24" x14ac:dyDescent="0.4">
      <c r="A31" s="1">
        <v>30</v>
      </c>
      <c r="B31" s="1" t="s">
        <v>21</v>
      </c>
      <c r="C31" s="1">
        <v>33</v>
      </c>
      <c r="D31" s="1" t="s">
        <v>21</v>
      </c>
      <c r="E31" s="1">
        <v>33</v>
      </c>
      <c r="F31" s="1" t="s">
        <v>20</v>
      </c>
      <c r="G31" s="1">
        <v>30</v>
      </c>
      <c r="H31" s="1">
        <v>0</v>
      </c>
      <c r="I31" s="4" t="s">
        <v>18</v>
      </c>
      <c r="J31" s="1">
        <v>4</v>
      </c>
      <c r="K31" s="1">
        <v>66</v>
      </c>
      <c r="L31" s="1">
        <v>150.30000000000001</v>
      </c>
      <c r="M31" s="1">
        <v>0.1338</v>
      </c>
      <c r="N31" s="1">
        <v>-7.3879999999999999</v>
      </c>
      <c r="O31" s="1"/>
      <c r="P31" s="1">
        <v>33153.333333333299</v>
      </c>
      <c r="Q31" s="1">
        <v>2.97378073317654</v>
      </c>
      <c r="R31">
        <v>3.8753506961317101</v>
      </c>
      <c r="S31">
        <f t="shared" si="0"/>
        <v>-0.90156996295517011</v>
      </c>
      <c r="T31">
        <f t="shared" si="1"/>
        <v>0.74586003704482984</v>
      </c>
      <c r="U31">
        <f t="shared" si="2"/>
        <v>0.25148526783312197</v>
      </c>
      <c r="V31" s="61">
        <v>0.27397120268939185</v>
      </c>
    </row>
    <row r="32" spans="1:24" x14ac:dyDescent="0.4">
      <c r="A32" s="1">
        <v>31</v>
      </c>
      <c r="B32" s="1" t="s">
        <v>23</v>
      </c>
      <c r="C32" s="1">
        <v>33</v>
      </c>
      <c r="D32" s="1" t="s">
        <v>16</v>
      </c>
      <c r="E32" s="1">
        <v>33</v>
      </c>
      <c r="F32" s="1" t="s">
        <v>20</v>
      </c>
      <c r="G32" s="1">
        <v>30</v>
      </c>
      <c r="H32" s="1">
        <v>0</v>
      </c>
      <c r="I32" s="4" t="s">
        <v>18</v>
      </c>
      <c r="J32" s="1">
        <v>4</v>
      </c>
      <c r="K32" s="1">
        <v>66</v>
      </c>
      <c r="L32" s="1">
        <v>112.3</v>
      </c>
      <c r="M32" s="1">
        <v>0.15720000000000001</v>
      </c>
      <c r="N32" s="1">
        <v>-6.0670000000000002</v>
      </c>
      <c r="O32" s="1"/>
      <c r="P32" s="1">
        <v>87953.333333333299</v>
      </c>
      <c r="Q32" s="1">
        <v>3.39750583638234</v>
      </c>
      <c r="R32">
        <v>3.8753506961317101</v>
      </c>
      <c r="S32">
        <f t="shared" si="0"/>
        <v>-0.47784485974937008</v>
      </c>
      <c r="T32">
        <f t="shared" si="1"/>
        <v>1.1695851402506299</v>
      </c>
      <c r="U32">
        <f t="shared" si="2"/>
        <v>0.39435472828783608</v>
      </c>
      <c r="V32" s="61">
        <v>0.23892394998722746</v>
      </c>
    </row>
    <row r="33" spans="1:22" x14ac:dyDescent="0.4">
      <c r="A33" s="1">
        <v>32</v>
      </c>
      <c r="B33" s="1" t="s">
        <v>19</v>
      </c>
      <c r="C33" s="1">
        <v>29</v>
      </c>
      <c r="D33" s="1" t="s">
        <v>19</v>
      </c>
      <c r="E33" s="1">
        <v>29</v>
      </c>
      <c r="F33" s="1" t="s">
        <v>17</v>
      </c>
      <c r="G33" s="1">
        <v>20</v>
      </c>
      <c r="H33" s="1">
        <v>19.25</v>
      </c>
      <c r="I33" s="4" t="s">
        <v>18</v>
      </c>
      <c r="J33" s="1">
        <v>2.75</v>
      </c>
      <c r="K33" s="1">
        <v>58</v>
      </c>
      <c r="L33" s="1">
        <v>87.94</v>
      </c>
      <c r="M33" s="1">
        <v>0.25169999999999998</v>
      </c>
      <c r="N33" s="1">
        <v>-5175</v>
      </c>
      <c r="O33" s="1"/>
      <c r="P33" s="1">
        <v>19016.666666666701</v>
      </c>
      <c r="Q33" s="1">
        <v>2.7323879270345701</v>
      </c>
      <c r="R33">
        <v>3.8753506961317101</v>
      </c>
      <c r="S33">
        <f t="shared" si="0"/>
        <v>-1.14296276909714</v>
      </c>
      <c r="T33">
        <f t="shared" si="1"/>
        <v>0.50446723090285994</v>
      </c>
      <c r="U33">
        <f t="shared" si="2"/>
        <v>0.1700936776010884</v>
      </c>
      <c r="V33" s="61">
        <v>0.28936699536400484</v>
      </c>
    </row>
    <row r="34" spans="1:22" x14ac:dyDescent="0.4">
      <c r="A34" s="1">
        <v>33</v>
      </c>
      <c r="B34" s="8" t="s">
        <v>21</v>
      </c>
      <c r="C34" s="8">
        <v>29</v>
      </c>
      <c r="D34" s="8" t="s">
        <v>22</v>
      </c>
      <c r="E34" s="8">
        <v>29</v>
      </c>
      <c r="F34" s="8" t="s">
        <v>17</v>
      </c>
      <c r="G34" s="8">
        <v>20</v>
      </c>
      <c r="H34" s="8">
        <v>19.25</v>
      </c>
      <c r="I34" s="9" t="s">
        <v>18</v>
      </c>
      <c r="J34" s="8">
        <v>2.75</v>
      </c>
      <c r="K34" s="8">
        <v>58</v>
      </c>
      <c r="L34" s="8">
        <v>120.8</v>
      </c>
      <c r="M34" s="8">
        <v>0.22950000000000001</v>
      </c>
      <c r="N34" s="8">
        <v>-0.36349999999999999</v>
      </c>
      <c r="O34" s="1">
        <v>6.1</v>
      </c>
      <c r="P34" s="8">
        <v>17163.333333333299</v>
      </c>
      <c r="Q34" s="1">
        <v>2.6878551701075701</v>
      </c>
      <c r="R34">
        <v>3.8753506961317101</v>
      </c>
      <c r="S34">
        <f t="shared" si="0"/>
        <v>-1.18749552602414</v>
      </c>
      <c r="T34">
        <f t="shared" si="1"/>
        <v>0.45993447397585996</v>
      </c>
      <c r="U34">
        <f t="shared" si="2"/>
        <v>0.15507835066722186</v>
      </c>
      <c r="V34" s="61">
        <v>0.44423324361675387</v>
      </c>
    </row>
    <row r="35" spans="1:22" x14ac:dyDescent="0.4">
      <c r="A35" s="1">
        <v>34</v>
      </c>
      <c r="B35" s="1" t="s">
        <v>16</v>
      </c>
      <c r="C35" s="1">
        <v>25</v>
      </c>
      <c r="D35" s="1" t="s">
        <v>23</v>
      </c>
      <c r="E35" s="1">
        <v>25</v>
      </c>
      <c r="F35" s="1" t="s">
        <v>17</v>
      </c>
      <c r="G35" s="1">
        <v>10</v>
      </c>
      <c r="H35" s="1">
        <v>38.5</v>
      </c>
      <c r="I35" s="4" t="s">
        <v>18</v>
      </c>
      <c r="J35" s="1">
        <v>1.5</v>
      </c>
      <c r="K35" s="1">
        <v>50</v>
      </c>
      <c r="L35" s="1" t="s">
        <v>24</v>
      </c>
      <c r="M35" s="1" t="s">
        <v>24</v>
      </c>
      <c r="N35" s="1">
        <v>-2.7869999999999999</v>
      </c>
      <c r="O35" s="1"/>
      <c r="P35" s="1">
        <v>5952</v>
      </c>
      <c r="Q35" s="1">
        <v>2.2279164555378199</v>
      </c>
      <c r="R35">
        <v>3.8753506961317101</v>
      </c>
      <c r="S35" s="54">
        <f t="shared" si="0"/>
        <v>-1.6474342405938902</v>
      </c>
      <c r="T35">
        <f>S35+1.647434242</f>
        <v>1.4061098951856366E-9</v>
      </c>
      <c r="U35">
        <v>0</v>
      </c>
      <c r="V35" s="61">
        <v>0.52428375316259812</v>
      </c>
    </row>
    <row r="36" spans="1:22" x14ac:dyDescent="0.4">
      <c r="A36" s="1">
        <v>35</v>
      </c>
      <c r="B36" s="1" t="s">
        <v>23</v>
      </c>
      <c r="C36" s="1">
        <v>33</v>
      </c>
      <c r="D36" s="1" t="s">
        <v>23</v>
      </c>
      <c r="E36" s="1">
        <v>33</v>
      </c>
      <c r="F36" s="1" t="s">
        <v>17</v>
      </c>
      <c r="G36" s="1">
        <v>30</v>
      </c>
      <c r="H36" s="1">
        <v>0</v>
      </c>
      <c r="I36" s="4" t="s">
        <v>18</v>
      </c>
      <c r="J36" s="1">
        <v>4</v>
      </c>
      <c r="K36" s="1">
        <v>66</v>
      </c>
      <c r="L36" s="1" t="s">
        <v>24</v>
      </c>
      <c r="M36" s="1" t="s">
        <v>24</v>
      </c>
      <c r="N36" s="1">
        <v>-8.93</v>
      </c>
      <c r="O36" s="1"/>
      <c r="P36" s="1">
        <v>29356.666666666701</v>
      </c>
      <c r="Q36" s="1">
        <v>2.9209602746235501</v>
      </c>
      <c r="R36">
        <v>3.8753506961317101</v>
      </c>
      <c r="S36">
        <f t="shared" si="0"/>
        <v>-0.95439042150816</v>
      </c>
      <c r="T36">
        <f t="shared" si="1"/>
        <v>0.69303957849183995</v>
      </c>
      <c r="U36">
        <f t="shared" si="2"/>
        <v>0.23367553610530645</v>
      </c>
      <c r="V36" s="61">
        <v>0.12916533021120108</v>
      </c>
    </row>
    <row r="37" spans="1:22" x14ac:dyDescent="0.4">
      <c r="A37" s="1">
        <v>36</v>
      </c>
      <c r="B37" s="1" t="s">
        <v>21</v>
      </c>
      <c r="C37" s="1">
        <v>25</v>
      </c>
      <c r="D37" s="1" t="s">
        <v>22</v>
      </c>
      <c r="E37" s="1">
        <v>25</v>
      </c>
      <c r="F37" s="1" t="s">
        <v>17</v>
      </c>
      <c r="G37" s="1">
        <v>10</v>
      </c>
      <c r="H37" s="1">
        <v>38.5</v>
      </c>
      <c r="I37" s="4" t="s">
        <v>18</v>
      </c>
      <c r="J37" s="1">
        <v>1.5</v>
      </c>
      <c r="K37" s="1">
        <v>50</v>
      </c>
      <c r="L37" s="1">
        <v>114.8</v>
      </c>
      <c r="M37" s="1">
        <v>0.24990000000000001</v>
      </c>
      <c r="N37" s="1">
        <v>-7.9259999999999997E-2</v>
      </c>
      <c r="O37" s="1">
        <v>5.82</v>
      </c>
      <c r="P37" s="1">
        <v>26783.333333333299</v>
      </c>
      <c r="Q37" s="1">
        <v>2.8811181593797</v>
      </c>
      <c r="R37">
        <v>3.8753506961317101</v>
      </c>
      <c r="S37">
        <f t="shared" si="0"/>
        <v>-0.99423253675201018</v>
      </c>
      <c r="T37">
        <f t="shared" si="1"/>
        <v>0.65319746324798977</v>
      </c>
      <c r="U37">
        <f t="shared" si="2"/>
        <v>0.22024177571396436</v>
      </c>
      <c r="V37" s="61">
        <v>0.24665311293592951</v>
      </c>
    </row>
    <row r="38" spans="1:22" x14ac:dyDescent="0.4">
      <c r="A38" s="10" t="s">
        <v>25</v>
      </c>
      <c r="B38" s="3" t="s">
        <v>26</v>
      </c>
      <c r="C38" s="3" t="s">
        <v>27</v>
      </c>
      <c r="D38" s="3" t="s">
        <v>28</v>
      </c>
      <c r="E38" s="3" t="s">
        <v>29</v>
      </c>
      <c r="F38" s="3" t="s">
        <v>30</v>
      </c>
      <c r="G38" s="3" t="s">
        <v>31</v>
      </c>
      <c r="H38" s="3" t="s">
        <v>32</v>
      </c>
      <c r="I38" s="3" t="s">
        <v>8</v>
      </c>
      <c r="J38" s="3" t="s">
        <v>33</v>
      </c>
      <c r="K38" s="3" t="s">
        <v>34</v>
      </c>
      <c r="L38" s="2" t="s">
        <v>11</v>
      </c>
      <c r="M38" s="2" t="s">
        <v>12</v>
      </c>
      <c r="N38" s="2" t="s">
        <v>13</v>
      </c>
      <c r="O38" s="2"/>
      <c r="P38" s="2" t="s">
        <v>14</v>
      </c>
      <c r="R38">
        <v>3.8753506961317101</v>
      </c>
      <c r="S38">
        <f t="shared" si="0"/>
        <v>-3.8753506961317101</v>
      </c>
      <c r="T38">
        <f t="shared" si="1"/>
        <v>-2.2279206961317102</v>
      </c>
      <c r="U38">
        <f t="shared" si="2"/>
        <v>-0.75119889141340679</v>
      </c>
    </row>
    <row r="39" spans="1:22" x14ac:dyDescent="0.4">
      <c r="A39" s="11" t="s">
        <v>35</v>
      </c>
      <c r="B39" s="12" t="s">
        <v>21</v>
      </c>
      <c r="C39" s="12">
        <v>46.4</v>
      </c>
      <c r="D39" s="12" t="s">
        <v>36</v>
      </c>
      <c r="E39" s="12">
        <v>11.6</v>
      </c>
      <c r="F39" s="12" t="s">
        <v>20</v>
      </c>
      <c r="G39" s="12">
        <v>15</v>
      </c>
      <c r="H39" s="12">
        <v>25.5</v>
      </c>
      <c r="I39" s="12" t="s">
        <v>18</v>
      </c>
      <c r="J39" s="12">
        <v>1.5</v>
      </c>
      <c r="K39" s="12">
        <v>58</v>
      </c>
      <c r="L39" s="12">
        <v>103.1</v>
      </c>
      <c r="M39" s="12">
        <v>0.1206</v>
      </c>
      <c r="N39" s="12">
        <v>-0.77590000000000003</v>
      </c>
      <c r="O39">
        <v>5.2409999999999997</v>
      </c>
      <c r="P39" s="1">
        <v>37410</v>
      </c>
      <c r="Q39" s="1">
        <v>4.27414881919821</v>
      </c>
      <c r="R39">
        <v>3.8753506961317101</v>
      </c>
      <c r="S39">
        <f t="shared" si="0"/>
        <v>0.39879812306649987</v>
      </c>
      <c r="T39">
        <f t="shared" si="1"/>
        <v>2.0462281230664998</v>
      </c>
      <c r="U39">
        <f t="shared" si="2"/>
        <v>0.68993672005263296</v>
      </c>
      <c r="V39" s="61">
        <v>0.46305847726635402</v>
      </c>
    </row>
    <row r="40" spans="1:22" x14ac:dyDescent="0.4">
      <c r="A40" s="11" t="s">
        <v>37</v>
      </c>
      <c r="B40" s="13" t="s">
        <v>21</v>
      </c>
      <c r="C40" s="13">
        <v>49.4</v>
      </c>
      <c r="D40" s="13" t="s">
        <v>22</v>
      </c>
      <c r="E40" s="13">
        <v>12.35</v>
      </c>
      <c r="F40" s="13" t="s">
        <v>20</v>
      </c>
      <c r="G40" s="13">
        <v>15</v>
      </c>
      <c r="H40" s="13">
        <v>19.25</v>
      </c>
      <c r="I40" s="13" t="s">
        <v>38</v>
      </c>
      <c r="J40" s="13">
        <v>4</v>
      </c>
      <c r="K40" s="13">
        <v>61.75</v>
      </c>
      <c r="L40" s="13">
        <v>1003</v>
      </c>
      <c r="M40" s="13">
        <v>0.65329999999999999</v>
      </c>
      <c r="N40" s="13">
        <v>3.879</v>
      </c>
      <c r="O40">
        <v>5.5049999999999999</v>
      </c>
      <c r="P40" s="5">
        <v>35210</v>
      </c>
      <c r="Q40" s="1">
        <v>4.24782713607018</v>
      </c>
      <c r="R40">
        <v>3.8753506961317101</v>
      </c>
      <c r="S40">
        <f t="shared" si="0"/>
        <v>0.37247643993846991</v>
      </c>
      <c r="T40">
        <f t="shared" si="1"/>
        <v>2.0199064399384699</v>
      </c>
      <c r="U40">
        <f t="shared" si="2"/>
        <v>0.68106170972563063</v>
      </c>
      <c r="V40" s="61">
        <v>0.46526167409426394</v>
      </c>
    </row>
    <row r="41" spans="1:22" x14ac:dyDescent="0.4">
      <c r="A41" s="11" t="s">
        <v>39</v>
      </c>
      <c r="B41" s="12" t="s">
        <v>23</v>
      </c>
      <c r="C41" s="12">
        <v>11.38</v>
      </c>
      <c r="D41" s="12" t="s">
        <v>23</v>
      </c>
      <c r="E41" s="12">
        <v>21.12</v>
      </c>
      <c r="F41" s="12" t="s">
        <v>20</v>
      </c>
      <c r="G41" s="12">
        <v>25</v>
      </c>
      <c r="H41" s="12">
        <v>38.5</v>
      </c>
      <c r="I41" s="12" t="s">
        <v>18</v>
      </c>
      <c r="J41" s="12">
        <v>4</v>
      </c>
      <c r="K41" s="12">
        <v>32.5</v>
      </c>
      <c r="L41" s="12">
        <v>76.349999999999994</v>
      </c>
      <c r="M41" s="12">
        <v>0.14849999999999999</v>
      </c>
      <c r="N41" s="12">
        <v>-5.806</v>
      </c>
      <c r="O41">
        <v>5.3680000000000003</v>
      </c>
      <c r="P41" s="1">
        <v>11430.666666666701</v>
      </c>
      <c r="Q41" s="1">
        <v>3.7592326713350399</v>
      </c>
      <c r="R41">
        <v>3.8753506961317101</v>
      </c>
      <c r="S41">
        <f t="shared" si="0"/>
        <v>-0.11611802479667022</v>
      </c>
      <c r="T41">
        <f t="shared" si="1"/>
        <v>1.5313119752033297</v>
      </c>
      <c r="U41">
        <f t="shared" si="2"/>
        <v>0.51631993013848776</v>
      </c>
      <c r="V41" s="61">
        <v>0.63548297459130731</v>
      </c>
    </row>
    <row r="42" spans="1:22" x14ac:dyDescent="0.4">
      <c r="A42" s="11" t="s">
        <v>40</v>
      </c>
      <c r="B42" s="13" t="s">
        <v>21</v>
      </c>
      <c r="C42" s="13">
        <v>37.700000000000003</v>
      </c>
      <c r="D42" s="13" t="s">
        <v>23</v>
      </c>
      <c r="E42" s="13">
        <v>20.3</v>
      </c>
      <c r="F42" s="13" t="s">
        <v>20</v>
      </c>
      <c r="G42" s="13">
        <v>15</v>
      </c>
      <c r="H42" s="13">
        <v>25.5</v>
      </c>
      <c r="I42" s="13" t="s">
        <v>38</v>
      </c>
      <c r="J42" s="13">
        <v>1.5</v>
      </c>
      <c r="K42" s="13">
        <v>58</v>
      </c>
      <c r="L42" s="13">
        <v>115.2</v>
      </c>
      <c r="M42" s="13">
        <v>0.1285</v>
      </c>
      <c r="N42" s="13">
        <v>-3.2320000000000002</v>
      </c>
      <c r="O42">
        <v>5.6269999999999998</v>
      </c>
      <c r="P42" s="5">
        <v>30846.666666666701</v>
      </c>
      <c r="Q42" s="5">
        <v>4.19036935144422</v>
      </c>
      <c r="R42">
        <v>3.8753506961317101</v>
      </c>
      <c r="S42">
        <f t="shared" si="0"/>
        <v>0.31501865531250983</v>
      </c>
      <c r="T42">
        <f t="shared" si="1"/>
        <v>1.9624486553125098</v>
      </c>
      <c r="U42">
        <f t="shared" si="2"/>
        <v>0.66168838813970832</v>
      </c>
      <c r="V42" s="61">
        <v>0.43701269505793572</v>
      </c>
    </row>
    <row r="43" spans="1:22" x14ac:dyDescent="0.4">
      <c r="A43" s="11" t="s">
        <v>41</v>
      </c>
      <c r="B43" s="12" t="s">
        <v>23</v>
      </c>
      <c r="C43" s="12">
        <v>7.7</v>
      </c>
      <c r="D43" s="12" t="s">
        <v>22</v>
      </c>
      <c r="E43" s="12">
        <v>14.3</v>
      </c>
      <c r="F43" s="12" t="s">
        <v>17</v>
      </c>
      <c r="G43" s="12">
        <v>50</v>
      </c>
      <c r="H43" s="12">
        <v>25.5</v>
      </c>
      <c r="I43" s="12" t="s">
        <v>18</v>
      </c>
      <c r="J43" s="12">
        <v>2.5</v>
      </c>
      <c r="K43" s="12">
        <v>22</v>
      </c>
      <c r="L43" s="12">
        <v>102.7</v>
      </c>
      <c r="M43" s="12">
        <v>0.22040000000000001</v>
      </c>
      <c r="N43" s="12">
        <v>-0.65639999999999998</v>
      </c>
      <c r="O43">
        <v>6.0880000000000001</v>
      </c>
      <c r="P43" s="1">
        <v>133543.33333333299</v>
      </c>
      <c r="Q43" s="1">
        <v>4.82678332332135</v>
      </c>
      <c r="R43">
        <v>3.8753506961317101</v>
      </c>
      <c r="S43">
        <f t="shared" si="0"/>
        <v>0.95143262718963983</v>
      </c>
      <c r="T43">
        <f t="shared" si="1"/>
        <v>2.5988626271896398</v>
      </c>
      <c r="U43">
        <f t="shared" si="2"/>
        <v>0.87627119217944438</v>
      </c>
      <c r="V43" s="61">
        <v>0.596899832201926</v>
      </c>
    </row>
    <row r="44" spans="1:22" x14ac:dyDescent="0.4">
      <c r="A44" s="11" t="s">
        <v>42</v>
      </c>
      <c r="B44" s="14" t="s">
        <v>21</v>
      </c>
      <c r="C44" s="14">
        <v>12.95</v>
      </c>
      <c r="D44" s="14" t="s">
        <v>22</v>
      </c>
      <c r="E44" s="14">
        <v>24.05</v>
      </c>
      <c r="F44" s="14" t="s">
        <v>17</v>
      </c>
      <c r="G44" s="14">
        <v>35</v>
      </c>
      <c r="H44" s="14">
        <v>25.5</v>
      </c>
      <c r="I44" s="14" t="s">
        <v>43</v>
      </c>
      <c r="J44" s="14">
        <v>2.5</v>
      </c>
      <c r="K44" s="14">
        <v>37</v>
      </c>
      <c r="L44" s="14">
        <v>107.8</v>
      </c>
      <c r="M44" s="14">
        <v>0.1888</v>
      </c>
      <c r="N44" s="14">
        <v>-0.81130000000000002</v>
      </c>
      <c r="O44">
        <v>5.6379999999999999</v>
      </c>
      <c r="P44" s="8">
        <v>63433.333333333299</v>
      </c>
      <c r="Q44" s="1">
        <v>4.5034786445673598</v>
      </c>
      <c r="R44">
        <v>3.8753506961317101</v>
      </c>
      <c r="S44">
        <f t="shared" si="0"/>
        <v>0.62812794843564967</v>
      </c>
      <c r="T44">
        <f t="shared" si="1"/>
        <v>2.2755579484356496</v>
      </c>
      <c r="U44">
        <f t="shared" si="2"/>
        <v>0.76726097620073019</v>
      </c>
      <c r="V44" s="61">
        <v>0.86485609859499557</v>
      </c>
    </row>
    <row r="45" spans="1:22" x14ac:dyDescent="0.4">
      <c r="A45" s="11" t="s">
        <v>44</v>
      </c>
      <c r="B45" s="14" t="s">
        <v>21</v>
      </c>
      <c r="C45" s="14">
        <v>43.55</v>
      </c>
      <c r="D45" s="14" t="s">
        <v>22</v>
      </c>
      <c r="E45" s="14">
        <v>23.45</v>
      </c>
      <c r="F45" s="14" t="s">
        <v>20</v>
      </c>
      <c r="G45" s="14">
        <v>5</v>
      </c>
      <c r="H45" s="14">
        <v>25.5</v>
      </c>
      <c r="I45" s="14" t="s">
        <v>38</v>
      </c>
      <c r="J45" s="14">
        <v>2.5</v>
      </c>
      <c r="K45" s="14">
        <v>67</v>
      </c>
      <c r="L45" s="14">
        <v>466.2</v>
      </c>
      <c r="M45" s="14">
        <v>0.58750000000000002</v>
      </c>
      <c r="N45" s="14">
        <v>-3.8380000000000001</v>
      </c>
      <c r="O45">
        <v>5.556</v>
      </c>
      <c r="P45" s="8">
        <v>35156.666666666701</v>
      </c>
      <c r="Q45" s="1">
        <v>4.2471688022908296</v>
      </c>
      <c r="R45">
        <v>3.8753506961317101</v>
      </c>
      <c r="S45">
        <f t="shared" si="0"/>
        <v>0.37181810615911948</v>
      </c>
      <c r="T45">
        <f t="shared" si="1"/>
        <v>2.0192481061591194</v>
      </c>
      <c r="U45">
        <f t="shared" si="2"/>
        <v>0.68083973611315574</v>
      </c>
      <c r="V45" s="61">
        <v>0.75742282475806366</v>
      </c>
    </row>
    <row r="46" spans="1:22" x14ac:dyDescent="0.4">
      <c r="A46" s="11" t="s">
        <v>45</v>
      </c>
      <c r="B46" s="14" t="s">
        <v>21</v>
      </c>
      <c r="C46" s="14">
        <v>20.75</v>
      </c>
      <c r="D46" s="14" t="s">
        <v>22</v>
      </c>
      <c r="E46" s="14">
        <v>20.75</v>
      </c>
      <c r="F46" s="14" t="s">
        <v>17</v>
      </c>
      <c r="G46" s="14">
        <v>25</v>
      </c>
      <c r="H46" s="14">
        <v>32</v>
      </c>
      <c r="I46" s="14" t="s">
        <v>38</v>
      </c>
      <c r="J46" s="14">
        <v>1.5</v>
      </c>
      <c r="K46" s="14">
        <v>41.5</v>
      </c>
      <c r="L46" s="14">
        <v>610.1</v>
      </c>
      <c r="M46" s="14">
        <v>0.49880000000000002</v>
      </c>
      <c r="N46" s="14">
        <v>-2.6520000000000001</v>
      </c>
      <c r="O46" s="64">
        <v>4.3250000000000002</v>
      </c>
      <c r="P46" s="8">
        <v>7171.3333333333303</v>
      </c>
      <c r="Q46" s="1">
        <v>3.5567610205694602</v>
      </c>
      <c r="R46">
        <v>3.8753506961317101</v>
      </c>
      <c r="S46">
        <f t="shared" si="0"/>
        <v>-0.31858967556224993</v>
      </c>
      <c r="T46">
        <f t="shared" si="1"/>
        <v>1.32884032443775</v>
      </c>
      <c r="U46">
        <f t="shared" si="2"/>
        <v>0.44805157576580845</v>
      </c>
      <c r="V46" s="61">
        <v>0.50297209838999146</v>
      </c>
    </row>
    <row r="47" spans="1:22" x14ac:dyDescent="0.4">
      <c r="A47" s="11" t="s">
        <v>46</v>
      </c>
      <c r="B47" s="12" t="s">
        <v>23</v>
      </c>
      <c r="C47" s="12">
        <v>12.95</v>
      </c>
      <c r="D47" s="12" t="s">
        <v>22</v>
      </c>
      <c r="E47" s="12">
        <v>24.05</v>
      </c>
      <c r="F47" s="12" t="s">
        <v>17</v>
      </c>
      <c r="G47" s="12">
        <v>35</v>
      </c>
      <c r="H47" s="12">
        <v>25.5</v>
      </c>
      <c r="I47" s="12" t="s">
        <v>38</v>
      </c>
      <c r="J47" s="12">
        <v>2.5</v>
      </c>
      <c r="K47" s="12">
        <v>37</v>
      </c>
      <c r="L47" s="12">
        <v>500.7</v>
      </c>
      <c r="M47" s="12">
        <v>0.45</v>
      </c>
      <c r="N47" s="12">
        <v>-3.488</v>
      </c>
      <c r="O47">
        <v>6.16</v>
      </c>
      <c r="P47" s="1">
        <v>6408.3333333333303</v>
      </c>
      <c r="Q47" s="1">
        <v>3.5079062047538101</v>
      </c>
      <c r="R47">
        <v>3.8753506961317101</v>
      </c>
      <c r="S47">
        <f t="shared" si="0"/>
        <v>-0.36744449137790003</v>
      </c>
      <c r="T47">
        <f t="shared" si="1"/>
        <v>1.2799855086220999</v>
      </c>
      <c r="U47">
        <f t="shared" si="2"/>
        <v>0.43157895914859973</v>
      </c>
      <c r="V47" s="61">
        <v>0.62053699763520687</v>
      </c>
    </row>
    <row r="48" spans="1:22" x14ac:dyDescent="0.4">
      <c r="A48" s="11" t="s">
        <v>47</v>
      </c>
      <c r="B48" s="12" t="s">
        <v>23</v>
      </c>
      <c r="C48" s="12">
        <v>18.38</v>
      </c>
      <c r="D48" s="12" t="s">
        <v>23</v>
      </c>
      <c r="E48" s="12">
        <v>34.119999999999997</v>
      </c>
      <c r="F48" s="12" t="s">
        <v>17</v>
      </c>
      <c r="G48" s="12">
        <v>5</v>
      </c>
      <c r="H48" s="12">
        <v>38.5</v>
      </c>
      <c r="I48" s="12" t="s">
        <v>38</v>
      </c>
      <c r="J48" s="12">
        <v>4</v>
      </c>
      <c r="K48" s="12">
        <v>52.5</v>
      </c>
      <c r="L48" s="12">
        <v>1029</v>
      </c>
      <c r="M48" s="12">
        <v>0.58779999999999999</v>
      </c>
      <c r="N48" s="12">
        <v>-2.746</v>
      </c>
      <c r="O48" s="64">
        <v>4</v>
      </c>
      <c r="P48" s="1">
        <v>11139</v>
      </c>
      <c r="Q48" s="1">
        <v>3.74800731494582</v>
      </c>
      <c r="R48">
        <v>3.8753506961317101</v>
      </c>
      <c r="S48">
        <f t="shared" si="0"/>
        <v>-0.12734338118589017</v>
      </c>
      <c r="T48">
        <f t="shared" si="1"/>
        <v>1.5200866188141098</v>
      </c>
      <c r="U48">
        <f t="shared" si="2"/>
        <v>0.51253502195484213</v>
      </c>
      <c r="V48" s="61">
        <v>0.62453915017450068</v>
      </c>
    </row>
    <row r="49" spans="1:22" x14ac:dyDescent="0.4">
      <c r="A49" s="11" t="s">
        <v>48</v>
      </c>
      <c r="B49" s="12" t="s">
        <v>21</v>
      </c>
      <c r="C49" s="12">
        <v>13.38</v>
      </c>
      <c r="D49" s="12" t="s">
        <v>36</v>
      </c>
      <c r="E49" s="12">
        <v>13.38</v>
      </c>
      <c r="F49" s="12" t="s">
        <v>17</v>
      </c>
      <c r="G49" s="12">
        <v>50</v>
      </c>
      <c r="H49" s="12">
        <v>19.25</v>
      </c>
      <c r="I49" s="12" t="s">
        <v>18</v>
      </c>
      <c r="J49" s="12">
        <v>4</v>
      </c>
      <c r="K49" s="12">
        <v>26.75</v>
      </c>
      <c r="L49" s="12">
        <v>109.1</v>
      </c>
      <c r="M49" s="12">
        <v>0.22070000000000001</v>
      </c>
      <c r="N49" s="12">
        <v>-3.7290000000000001</v>
      </c>
      <c r="O49">
        <v>5.69</v>
      </c>
      <c r="P49" s="1">
        <v>34260</v>
      </c>
      <c r="Q49" s="1">
        <v>4.2359484696294896</v>
      </c>
      <c r="R49">
        <v>3.8753506961317101</v>
      </c>
      <c r="S49">
        <f t="shared" si="0"/>
        <v>0.36059777349777944</v>
      </c>
      <c r="T49">
        <f t="shared" si="1"/>
        <v>2.0080277734977794</v>
      </c>
      <c r="U49">
        <f t="shared" si="2"/>
        <v>0.67705652180435072</v>
      </c>
      <c r="V49" s="61">
        <v>0.99999999999999856</v>
      </c>
    </row>
    <row r="50" spans="1:22" x14ac:dyDescent="0.4">
      <c r="A50" s="11" t="s">
        <v>49</v>
      </c>
      <c r="B50" s="12" t="s">
        <v>36</v>
      </c>
      <c r="C50" s="12">
        <v>7.7</v>
      </c>
      <c r="D50" s="12" t="s">
        <v>23</v>
      </c>
      <c r="E50" s="12">
        <v>14.3</v>
      </c>
      <c r="F50" s="12" t="s">
        <v>20</v>
      </c>
      <c r="G50" s="12">
        <v>50</v>
      </c>
      <c r="H50" s="12">
        <v>25.5</v>
      </c>
      <c r="I50" s="12" t="s">
        <v>43</v>
      </c>
      <c r="J50" s="12">
        <v>2.5</v>
      </c>
      <c r="K50" s="12">
        <v>22</v>
      </c>
      <c r="L50" s="12">
        <v>91.73</v>
      </c>
      <c r="M50" s="12">
        <v>0.20660000000000001</v>
      </c>
      <c r="N50" s="12">
        <v>-4.5579999999999998</v>
      </c>
      <c r="O50">
        <v>5.97</v>
      </c>
      <c r="P50" s="1">
        <v>85050</v>
      </c>
      <c r="Q50" s="1">
        <v>4.6308354289485898</v>
      </c>
      <c r="R50">
        <v>3.8753506961317101</v>
      </c>
      <c r="S50">
        <f t="shared" si="0"/>
        <v>0.75548473281687967</v>
      </c>
      <c r="T50">
        <f t="shared" si="1"/>
        <v>2.4029147328168796</v>
      </c>
      <c r="U50">
        <f t="shared" si="2"/>
        <v>0.81020248457994071</v>
      </c>
      <c r="V50" s="61">
        <v>0.61083944230577691</v>
      </c>
    </row>
    <row r="51" spans="1:22" x14ac:dyDescent="0.4">
      <c r="A51" s="11" t="s">
        <v>50</v>
      </c>
      <c r="B51" s="12" t="s">
        <v>36</v>
      </c>
      <c r="C51" s="12">
        <v>20.3</v>
      </c>
      <c r="D51" s="12" t="s">
        <v>36</v>
      </c>
      <c r="E51" s="12">
        <v>37.700000000000003</v>
      </c>
      <c r="F51" s="12" t="s">
        <v>20</v>
      </c>
      <c r="G51" s="12">
        <v>15</v>
      </c>
      <c r="H51" s="12">
        <v>25.5</v>
      </c>
      <c r="I51" s="12" t="s">
        <v>43</v>
      </c>
      <c r="J51" s="12">
        <v>1.5</v>
      </c>
      <c r="K51" s="12">
        <v>58</v>
      </c>
      <c r="L51" s="12">
        <v>277.39999999999998</v>
      </c>
      <c r="M51" s="12">
        <v>0.67179999999999995</v>
      </c>
      <c r="N51" s="12">
        <v>-0.43099999999999999</v>
      </c>
      <c r="O51">
        <v>5.64</v>
      </c>
      <c r="P51" s="1">
        <v>5612.3333333333303</v>
      </c>
      <c r="Q51" s="1">
        <v>3.4503045681760298</v>
      </c>
      <c r="R51">
        <v>3.8753506961317101</v>
      </c>
      <c r="S51">
        <f t="shared" si="0"/>
        <v>-0.42504612795568031</v>
      </c>
      <c r="T51">
        <f t="shared" si="1"/>
        <v>1.2223838720443196</v>
      </c>
      <c r="U51">
        <f t="shared" si="2"/>
        <v>0.41215713429821083</v>
      </c>
      <c r="V51" s="61">
        <v>0.20539916111734277</v>
      </c>
    </row>
    <row r="52" spans="1:22" x14ac:dyDescent="0.4">
      <c r="A52" s="11" t="s">
        <v>51</v>
      </c>
      <c r="B52" s="12" t="s">
        <v>23</v>
      </c>
      <c r="C52" s="12">
        <v>35.200000000000003</v>
      </c>
      <c r="D52" s="12" t="s">
        <v>23</v>
      </c>
      <c r="E52" s="12">
        <v>8.8000000000000007</v>
      </c>
      <c r="F52" s="12" t="s">
        <v>17</v>
      </c>
      <c r="G52" s="12">
        <v>15</v>
      </c>
      <c r="H52" s="12">
        <v>38.5</v>
      </c>
      <c r="I52" s="12" t="s">
        <v>38</v>
      </c>
      <c r="J52" s="12">
        <v>2.5</v>
      </c>
      <c r="K52" s="12">
        <v>44</v>
      </c>
      <c r="L52" s="12">
        <v>2184</v>
      </c>
      <c r="M52" s="12">
        <v>0.70899999999999996</v>
      </c>
      <c r="N52" s="12">
        <v>-4.5890000000000004</v>
      </c>
      <c r="O52">
        <v>5.32</v>
      </c>
      <c r="P52" s="1">
        <v>11332.666666666701</v>
      </c>
      <c r="Q52" s="1" t="e">
        <v>#NUM!</v>
      </c>
      <c r="R52">
        <v>3.8753506961317101</v>
      </c>
      <c r="S52" t="e">
        <f t="shared" si="0"/>
        <v>#NUM!</v>
      </c>
      <c r="T52" t="e">
        <f t="shared" si="1"/>
        <v>#NUM!</v>
      </c>
      <c r="U52" t="e">
        <f t="shared" si="2"/>
        <v>#NUM!</v>
      </c>
      <c r="V52" s="61">
        <v>0.39566771729116512</v>
      </c>
    </row>
    <row r="53" spans="1:22" x14ac:dyDescent="0.4">
      <c r="A53" s="11" t="s">
        <v>52</v>
      </c>
      <c r="B53" s="12" t="s">
        <v>23</v>
      </c>
      <c r="C53" s="12">
        <v>17.149999999999999</v>
      </c>
      <c r="D53" s="12" t="s">
        <v>22</v>
      </c>
      <c r="E53" s="12">
        <v>31.85</v>
      </c>
      <c r="F53" s="12" t="s">
        <v>20</v>
      </c>
      <c r="G53" s="12">
        <v>15</v>
      </c>
      <c r="H53" s="12">
        <v>32</v>
      </c>
      <c r="I53" s="12" t="s">
        <v>38</v>
      </c>
      <c r="J53" s="12">
        <v>4</v>
      </c>
      <c r="K53" s="12">
        <v>49</v>
      </c>
      <c r="L53" s="12">
        <v>5045</v>
      </c>
      <c r="M53" s="12">
        <v>1</v>
      </c>
      <c r="N53" s="12">
        <v>11.72</v>
      </c>
      <c r="O53">
        <v>6.43</v>
      </c>
      <c r="P53" s="1">
        <v>38670</v>
      </c>
      <c r="Q53" s="1">
        <v>4.2885352830730703</v>
      </c>
      <c r="R53">
        <v>3.8753506961317101</v>
      </c>
      <c r="S53">
        <f t="shared" si="0"/>
        <v>0.41318458694136018</v>
      </c>
      <c r="T53">
        <f t="shared" si="1"/>
        <v>2.0606145869413601</v>
      </c>
      <c r="U53">
        <f t="shared" si="2"/>
        <v>0.69478747427064358</v>
      </c>
      <c r="V53" s="61">
        <v>0.5335928630701916</v>
      </c>
    </row>
    <row r="54" spans="1:22" x14ac:dyDescent="0.4">
      <c r="A54" s="11" t="s">
        <v>53</v>
      </c>
      <c r="B54" s="12" t="s">
        <v>36</v>
      </c>
      <c r="C54" s="12">
        <v>14.5</v>
      </c>
      <c r="D54" s="12" t="s">
        <v>23</v>
      </c>
      <c r="E54" s="12">
        <v>14.5</v>
      </c>
      <c r="F54" s="12" t="s">
        <v>20</v>
      </c>
      <c r="G54" s="12">
        <v>35</v>
      </c>
      <c r="H54" s="12">
        <v>32</v>
      </c>
      <c r="I54" s="12" t="s">
        <v>18</v>
      </c>
      <c r="J54" s="12">
        <v>4</v>
      </c>
      <c r="K54" s="12">
        <v>29</v>
      </c>
      <c r="L54" s="12">
        <v>202.2</v>
      </c>
      <c r="M54" s="12">
        <v>0.37609999999999999</v>
      </c>
      <c r="N54" s="12">
        <v>-0.91659999999999997</v>
      </c>
      <c r="O54">
        <v>5.88</v>
      </c>
      <c r="P54" s="1">
        <v>53926.666666666701</v>
      </c>
      <c r="Q54" s="1">
        <v>4.4329646873605997</v>
      </c>
      <c r="R54">
        <v>3.8753506961317101</v>
      </c>
      <c r="S54">
        <f t="shared" si="0"/>
        <v>0.55761399122888955</v>
      </c>
      <c r="T54">
        <f t="shared" si="1"/>
        <v>2.2050439912288895</v>
      </c>
      <c r="U54">
        <f t="shared" si="2"/>
        <v>0.74348544120307014</v>
      </c>
      <c r="V54" s="61">
        <v>0.58595111909957287</v>
      </c>
    </row>
    <row r="55" spans="1:22" x14ac:dyDescent="0.4">
      <c r="A55" s="11" t="s">
        <v>54</v>
      </c>
      <c r="B55" s="12" t="s">
        <v>36</v>
      </c>
      <c r="C55" s="12">
        <v>30.55</v>
      </c>
      <c r="D55" s="12" t="s">
        <v>23</v>
      </c>
      <c r="E55" s="12">
        <v>16.45</v>
      </c>
      <c r="F55" s="12" t="s">
        <v>17</v>
      </c>
      <c r="G55" s="12">
        <v>25</v>
      </c>
      <c r="H55" s="12">
        <v>25.5</v>
      </c>
      <c r="I55" s="12" t="s">
        <v>18</v>
      </c>
      <c r="J55" s="12">
        <v>2.5</v>
      </c>
      <c r="K55" s="12">
        <v>47</v>
      </c>
      <c r="L55" s="12">
        <v>177.8</v>
      </c>
      <c r="M55" s="12">
        <v>0.19059999999999999</v>
      </c>
      <c r="N55" s="12">
        <v>-0.41699999999999998</v>
      </c>
      <c r="O55">
        <v>5.65</v>
      </c>
      <c r="P55" s="1">
        <v>139866.66666666701</v>
      </c>
      <c r="Q55" s="1">
        <v>4.8468753358018599</v>
      </c>
      <c r="R55">
        <v>3.8753506961317101</v>
      </c>
      <c r="S55">
        <f t="shared" si="0"/>
        <v>0.97152463967014979</v>
      </c>
      <c r="T55">
        <f t="shared" si="1"/>
        <v>2.6189546396701497</v>
      </c>
      <c r="U55">
        <f t="shared" si="2"/>
        <v>0.88304571405889432</v>
      </c>
      <c r="V55" s="61">
        <v>0.84967633594283687</v>
      </c>
    </row>
    <row r="56" spans="1:22" x14ac:dyDescent="0.4">
      <c r="A56" s="11" t="s">
        <v>55</v>
      </c>
      <c r="B56" s="12" t="s">
        <v>36</v>
      </c>
      <c r="C56" s="12">
        <v>24.4</v>
      </c>
      <c r="D56" s="12" t="s">
        <v>23</v>
      </c>
      <c r="E56" s="12">
        <v>6.1</v>
      </c>
      <c r="F56" s="12" t="s">
        <v>17</v>
      </c>
      <c r="G56" s="12">
        <v>35</v>
      </c>
      <c r="H56" s="12">
        <v>32</v>
      </c>
      <c r="I56" s="12" t="s">
        <v>18</v>
      </c>
      <c r="J56" s="12">
        <v>2.5</v>
      </c>
      <c r="K56" s="12">
        <v>30.5</v>
      </c>
      <c r="L56" s="12">
        <v>115.7</v>
      </c>
      <c r="M56" s="12">
        <v>0.16819999999999999</v>
      </c>
      <c r="N56" s="12">
        <v>-1.909</v>
      </c>
      <c r="O56">
        <v>5.68</v>
      </c>
      <c r="P56" s="1">
        <v>119433.33333333299</v>
      </c>
      <c r="Q56" s="1">
        <v>4.7782866644464503</v>
      </c>
      <c r="R56">
        <v>3.8753506961317101</v>
      </c>
      <c r="S56">
        <f t="shared" si="0"/>
        <v>0.90293596831474021</v>
      </c>
      <c r="T56">
        <f t="shared" si="1"/>
        <v>2.5503659683147402</v>
      </c>
      <c r="U56">
        <f t="shared" si="2"/>
        <v>0.85991933708544022</v>
      </c>
      <c r="V56" s="61">
        <v>0.73182813300058691</v>
      </c>
    </row>
    <row r="57" spans="1:22" x14ac:dyDescent="0.4">
      <c r="A57" s="11" t="s">
        <v>56</v>
      </c>
      <c r="B57" s="12" t="s">
        <v>21</v>
      </c>
      <c r="C57" s="12">
        <v>8.75</v>
      </c>
      <c r="D57" s="12" t="s">
        <v>23</v>
      </c>
      <c r="E57" s="12">
        <v>16.25</v>
      </c>
      <c r="F57" s="12" t="s">
        <v>17</v>
      </c>
      <c r="G57" s="12">
        <v>35</v>
      </c>
      <c r="H57" s="12">
        <v>38.5</v>
      </c>
      <c r="I57" s="12" t="s">
        <v>43</v>
      </c>
      <c r="J57" s="12">
        <v>1.5</v>
      </c>
      <c r="K57" s="12">
        <v>25</v>
      </c>
      <c r="L57" s="12">
        <v>171.8</v>
      </c>
      <c r="M57" s="12">
        <v>0.26200000000000001</v>
      </c>
      <c r="N57" s="12">
        <v>-0.45950000000000002</v>
      </c>
      <c r="O57">
        <v>5.74</v>
      </c>
      <c r="P57" s="1">
        <v>135450</v>
      </c>
      <c r="Q57" s="1">
        <v>4.83294012036919</v>
      </c>
      <c r="R57">
        <v>3.8753506961317101</v>
      </c>
      <c r="S57">
        <f t="shared" si="0"/>
        <v>0.95758942423747984</v>
      </c>
      <c r="T57">
        <f t="shared" si="1"/>
        <v>2.6050194242374798</v>
      </c>
      <c r="U57">
        <f t="shared" si="2"/>
        <v>0.87834710947983352</v>
      </c>
      <c r="V57" s="61">
        <v>0.80125357018225452</v>
      </c>
    </row>
    <row r="58" spans="1:22" x14ac:dyDescent="0.4">
      <c r="A58" s="15" t="s">
        <v>57</v>
      </c>
      <c r="B58" s="16" t="s">
        <v>23</v>
      </c>
      <c r="C58" s="16">
        <v>13.33</v>
      </c>
      <c r="D58" s="16" t="s">
        <v>22</v>
      </c>
      <c r="E58" s="16">
        <v>7.17</v>
      </c>
      <c r="F58" s="16" t="s">
        <v>17</v>
      </c>
      <c r="G58" s="16">
        <v>50</v>
      </c>
      <c r="H58" s="16">
        <v>25.5</v>
      </c>
      <c r="I58" s="16" t="s">
        <v>18</v>
      </c>
      <c r="J58" s="16">
        <v>4</v>
      </c>
      <c r="K58" s="16">
        <v>20.5</v>
      </c>
      <c r="L58" s="12">
        <v>116.1</v>
      </c>
      <c r="M58" s="12">
        <v>0.25480000000000003</v>
      </c>
      <c r="N58" s="12">
        <v>-1.5569999999999999</v>
      </c>
      <c r="O58">
        <v>5.91</v>
      </c>
      <c r="P58" s="1">
        <v>49853.333333333299</v>
      </c>
      <c r="Q58" s="1">
        <v>4.3988553127625201</v>
      </c>
      <c r="R58">
        <v>3.8753506961317101</v>
      </c>
      <c r="S58">
        <f t="shared" si="0"/>
        <v>0.52350461663080994</v>
      </c>
      <c r="T58">
        <f t="shared" si="1"/>
        <v>2.1709346166308099</v>
      </c>
      <c r="U58">
        <f t="shared" si="2"/>
        <v>0.73198461694600814</v>
      </c>
      <c r="V58" s="61">
        <v>0.59742060946374997</v>
      </c>
    </row>
    <row r="59" spans="1:22" x14ac:dyDescent="0.4">
      <c r="A59" s="10" t="s">
        <v>25</v>
      </c>
      <c r="B59" s="3" t="s">
        <v>26</v>
      </c>
      <c r="C59" s="3" t="s">
        <v>27</v>
      </c>
      <c r="D59" s="3" t="s">
        <v>28</v>
      </c>
      <c r="E59" s="3" t="s">
        <v>29</v>
      </c>
      <c r="F59" s="3" t="s">
        <v>30</v>
      </c>
      <c r="G59" s="3" t="s">
        <v>31</v>
      </c>
      <c r="H59" s="3" t="s">
        <v>32</v>
      </c>
      <c r="I59" s="3" t="s">
        <v>8</v>
      </c>
      <c r="J59" s="3" t="s">
        <v>33</v>
      </c>
      <c r="K59" s="3" t="s">
        <v>34</v>
      </c>
      <c r="L59" s="2" t="s">
        <v>11</v>
      </c>
      <c r="M59" s="2" t="s">
        <v>12</v>
      </c>
      <c r="N59" s="2" t="s">
        <v>13</v>
      </c>
      <c r="P59" s="2" t="s">
        <v>14</v>
      </c>
      <c r="R59">
        <v>3.8753506961317101</v>
      </c>
      <c r="S59">
        <f t="shared" si="0"/>
        <v>-3.8753506961317101</v>
      </c>
      <c r="T59">
        <f t="shared" si="1"/>
        <v>-2.2279206961317102</v>
      </c>
      <c r="U59">
        <f t="shared" si="2"/>
        <v>-0.75119889141340679</v>
      </c>
    </row>
    <row r="60" spans="1:22" x14ac:dyDescent="0.4">
      <c r="A60" s="17" t="s">
        <v>58</v>
      </c>
      <c r="B60" s="12" t="s">
        <v>21</v>
      </c>
      <c r="C60" s="12">
        <v>26.98</v>
      </c>
      <c r="D60" s="12" t="s">
        <v>36</v>
      </c>
      <c r="E60" s="12">
        <v>14.52</v>
      </c>
      <c r="F60" s="12" t="s">
        <v>20</v>
      </c>
      <c r="G60" s="12">
        <v>25</v>
      </c>
      <c r="H60" s="12">
        <v>32</v>
      </c>
      <c r="I60" s="12" t="s">
        <v>43</v>
      </c>
      <c r="J60" s="12">
        <v>1.5</v>
      </c>
      <c r="K60" s="12">
        <v>41.5</v>
      </c>
      <c r="L60" s="12">
        <v>84.39</v>
      </c>
      <c r="M60" s="12">
        <v>0.1983</v>
      </c>
      <c r="N60" s="12">
        <v>-1.9650000000000001</v>
      </c>
      <c r="O60">
        <v>6.23</v>
      </c>
      <c r="P60" s="1">
        <v>87653.333333333299</v>
      </c>
      <c r="Q60" s="1">
        <v>3.6684368748958698</v>
      </c>
      <c r="R60">
        <v>3.8753506961317101</v>
      </c>
      <c r="S60">
        <f t="shared" si="0"/>
        <v>-0.20691382123584035</v>
      </c>
      <c r="T60">
        <f t="shared" si="1"/>
        <v>1.4405161787641596</v>
      </c>
      <c r="U60">
        <f t="shared" si="2"/>
        <v>0.48570586844925168</v>
      </c>
      <c r="V60" s="61">
        <v>0.14747132612581315</v>
      </c>
    </row>
    <row r="61" spans="1:22" x14ac:dyDescent="0.4">
      <c r="A61" s="17" t="s">
        <v>59</v>
      </c>
      <c r="B61" s="12" t="s">
        <v>23</v>
      </c>
      <c r="C61" s="12">
        <v>20.75</v>
      </c>
      <c r="D61" s="12" t="s">
        <v>19</v>
      </c>
      <c r="E61" s="12">
        <v>20.75</v>
      </c>
      <c r="F61" s="12" t="s">
        <v>17</v>
      </c>
      <c r="G61" s="12">
        <v>25</v>
      </c>
      <c r="H61" s="12">
        <v>32</v>
      </c>
      <c r="I61" s="12" t="s">
        <v>43</v>
      </c>
      <c r="J61" s="12">
        <v>1.5</v>
      </c>
      <c r="K61" s="12">
        <v>41.5</v>
      </c>
      <c r="L61" s="12">
        <v>157.1</v>
      </c>
      <c r="M61" s="12">
        <v>0.1268</v>
      </c>
      <c r="N61" s="12">
        <v>1.306</v>
      </c>
      <c r="P61" s="1">
        <v>639833.33333333302</v>
      </c>
      <c r="Q61" s="1">
        <v>4.5317353002757299</v>
      </c>
      <c r="R61">
        <v>3.8753506961317101</v>
      </c>
      <c r="S61">
        <f t="shared" si="0"/>
        <v>0.65638460414401978</v>
      </c>
      <c r="T61">
        <f t="shared" si="1"/>
        <v>2.3038146041440197</v>
      </c>
      <c r="U61">
        <f t="shared" si="2"/>
        <v>0.7767884106736147</v>
      </c>
      <c r="V61" s="61">
        <v>0.39848850371304967</v>
      </c>
    </row>
    <row r="62" spans="1:22" x14ac:dyDescent="0.4">
      <c r="A62" s="17" t="s">
        <v>60</v>
      </c>
      <c r="B62" s="12" t="s">
        <v>23</v>
      </c>
      <c r="C62" s="12">
        <v>11.1</v>
      </c>
      <c r="D62" s="12" t="s">
        <v>23</v>
      </c>
      <c r="E62" s="12">
        <v>44.4</v>
      </c>
      <c r="F62" s="12" t="s">
        <v>20</v>
      </c>
      <c r="G62" s="12">
        <v>15</v>
      </c>
      <c r="H62" s="12">
        <v>25.5</v>
      </c>
      <c r="I62" s="12" t="s">
        <v>38</v>
      </c>
      <c r="J62" s="12">
        <v>4</v>
      </c>
      <c r="K62" s="12">
        <v>55.5</v>
      </c>
      <c r="L62" s="12">
        <v>1689</v>
      </c>
      <c r="M62" s="12">
        <v>0.96140000000000003</v>
      </c>
      <c r="N62" s="12">
        <v>-1.121</v>
      </c>
      <c r="O62">
        <v>6.49</v>
      </c>
      <c r="P62" s="1">
        <v>84060</v>
      </c>
      <c r="Q62" s="1">
        <v>3.6502578242113901</v>
      </c>
      <c r="R62">
        <v>3.8753506961317101</v>
      </c>
      <c r="S62">
        <f t="shared" si="0"/>
        <v>-0.22509287192032001</v>
      </c>
      <c r="T62">
        <f t="shared" si="1"/>
        <v>1.4223371280796799</v>
      </c>
      <c r="U62">
        <f t="shared" si="2"/>
        <v>0.47957634923214487</v>
      </c>
      <c r="V62" s="61">
        <v>0.10409976872507852</v>
      </c>
    </row>
    <row r="63" spans="1:22" x14ac:dyDescent="0.4">
      <c r="A63" s="17" t="s">
        <v>61</v>
      </c>
      <c r="B63" s="12" t="s">
        <v>23</v>
      </c>
      <c r="C63" s="12">
        <v>18</v>
      </c>
      <c r="D63" s="12" t="s">
        <v>19</v>
      </c>
      <c r="E63" s="12">
        <v>4.5</v>
      </c>
      <c r="F63" s="12" t="s">
        <v>17</v>
      </c>
      <c r="G63" s="12">
        <v>35</v>
      </c>
      <c r="H63" s="12">
        <v>38.5</v>
      </c>
      <c r="I63" s="12" t="s">
        <v>43</v>
      </c>
      <c r="J63" s="12">
        <v>4</v>
      </c>
      <c r="K63" s="12">
        <v>22.5</v>
      </c>
      <c r="L63" s="12">
        <v>120.3</v>
      </c>
      <c r="M63" s="12">
        <v>0.16289999999999999</v>
      </c>
      <c r="N63" s="12">
        <v>0.49759999999999999</v>
      </c>
      <c r="O63" s="64"/>
      <c r="P63" s="1">
        <v>82593.333333333299</v>
      </c>
      <c r="Q63" s="1">
        <v>3.6426134324314501</v>
      </c>
      <c r="R63">
        <v>3.8753506961317101</v>
      </c>
      <c r="S63">
        <f t="shared" si="0"/>
        <v>-0.23273726370026004</v>
      </c>
      <c r="T63">
        <f t="shared" si="1"/>
        <v>1.4146927362997399</v>
      </c>
      <c r="U63">
        <f t="shared" si="2"/>
        <v>0.47699885235777623</v>
      </c>
      <c r="V63" s="61">
        <v>0.2640808928505432</v>
      </c>
    </row>
    <row r="64" spans="1:22" x14ac:dyDescent="0.4">
      <c r="A64" s="17" t="s">
        <v>62</v>
      </c>
      <c r="B64" s="12" t="s">
        <v>21</v>
      </c>
      <c r="C64" s="12">
        <v>21.62</v>
      </c>
      <c r="D64" s="12" t="s">
        <v>22</v>
      </c>
      <c r="E64" s="12">
        <v>21.62</v>
      </c>
      <c r="F64" s="12" t="s">
        <v>17</v>
      </c>
      <c r="G64" s="12">
        <v>35</v>
      </c>
      <c r="H64" s="12">
        <v>19.25</v>
      </c>
      <c r="I64" s="12" t="s">
        <v>38</v>
      </c>
      <c r="J64" s="12">
        <v>2.5</v>
      </c>
      <c r="K64" s="12">
        <v>43.25</v>
      </c>
      <c r="L64" s="12">
        <v>783.5</v>
      </c>
      <c r="M64" s="12">
        <v>0.35510000000000003</v>
      </c>
      <c r="N64" s="12">
        <v>4.3659999999999997</v>
      </c>
      <c r="O64">
        <v>4.9400000000000004</v>
      </c>
      <c r="P64" s="1">
        <v>26766.666666666701</v>
      </c>
      <c r="Q64" s="1">
        <v>3.15326272910099</v>
      </c>
      <c r="R64">
        <v>3.8753506961317101</v>
      </c>
      <c r="S64">
        <f t="shared" si="0"/>
        <v>-0.72208796703072009</v>
      </c>
      <c r="T64">
        <f t="shared" si="1"/>
        <v>0.92534203296927986</v>
      </c>
      <c r="U64">
        <f t="shared" si="2"/>
        <v>0.31200208811366836</v>
      </c>
      <c r="V64" s="61">
        <v>0.45697757978562942</v>
      </c>
    </row>
    <row r="65" spans="1:22" x14ac:dyDescent="0.4">
      <c r="A65" s="17" t="s">
        <v>63</v>
      </c>
      <c r="B65" s="12" t="s">
        <v>21</v>
      </c>
      <c r="C65" s="12">
        <v>5.85</v>
      </c>
      <c r="D65" s="12" t="s">
        <v>22</v>
      </c>
      <c r="E65" s="12">
        <v>23.4</v>
      </c>
      <c r="F65" s="12" t="s">
        <v>17</v>
      </c>
      <c r="G65" s="12">
        <v>50</v>
      </c>
      <c r="H65" s="12">
        <v>19.25</v>
      </c>
      <c r="I65" s="12" t="s">
        <v>43</v>
      </c>
      <c r="J65" s="12">
        <v>1.5</v>
      </c>
      <c r="K65" s="12">
        <v>29.25</v>
      </c>
      <c r="L65" s="12">
        <v>119.9</v>
      </c>
      <c r="M65" s="12">
        <v>0.22040000000000001</v>
      </c>
      <c r="N65" s="12">
        <v>0.90710000000000002</v>
      </c>
      <c r="O65" s="12">
        <v>4</v>
      </c>
      <c r="P65" s="1">
        <v>152696.66666666701</v>
      </c>
      <c r="Q65" s="1">
        <v>3.9094979951525901</v>
      </c>
      <c r="R65">
        <v>3.8753506961317101</v>
      </c>
      <c r="S65">
        <f t="shared" si="0"/>
        <v>3.4147299020879984E-2</v>
      </c>
      <c r="T65">
        <f t="shared" si="1"/>
        <v>1.6815772990208799</v>
      </c>
      <c r="U65">
        <f t="shared" si="2"/>
        <v>0.56698562253301954</v>
      </c>
      <c r="V65" s="61">
        <v>0.87608901040672171</v>
      </c>
    </row>
    <row r="66" spans="1:22" x14ac:dyDescent="0.4">
      <c r="A66" s="17" t="s">
        <v>64</v>
      </c>
      <c r="B66" s="12" t="s">
        <v>23</v>
      </c>
      <c r="C66" s="12">
        <v>22.12</v>
      </c>
      <c r="D66" s="12" t="s">
        <v>19</v>
      </c>
      <c r="E66" s="12">
        <v>22.12</v>
      </c>
      <c r="F66" s="12" t="s">
        <v>20</v>
      </c>
      <c r="G66" s="12">
        <v>35</v>
      </c>
      <c r="H66" s="12">
        <v>19.25</v>
      </c>
      <c r="I66" s="12" t="s">
        <v>18</v>
      </c>
      <c r="J66" s="12">
        <v>1.5</v>
      </c>
      <c r="K66" s="12">
        <v>44.25</v>
      </c>
      <c r="L66" s="12">
        <v>102.7</v>
      </c>
      <c r="M66" s="12">
        <v>0.15609999999999999</v>
      </c>
      <c r="N66" s="12">
        <v>0.44069999999999998</v>
      </c>
      <c r="O66" s="12">
        <v>6.45</v>
      </c>
      <c r="P66" s="1">
        <v>199200</v>
      </c>
      <c r="Q66" s="1">
        <v>4.0249577726296497</v>
      </c>
      <c r="R66">
        <v>3.8753506961317101</v>
      </c>
      <c r="S66">
        <f t="shared" si="0"/>
        <v>0.14960707649793958</v>
      </c>
      <c r="T66">
        <f t="shared" si="1"/>
        <v>1.7970370764979395</v>
      </c>
      <c r="U66">
        <f t="shared" si="2"/>
        <v>0.60591575904739314</v>
      </c>
      <c r="V66" s="61">
        <v>0.55396609783650852</v>
      </c>
    </row>
    <row r="67" spans="1:22" x14ac:dyDescent="0.4">
      <c r="A67" s="17" t="s">
        <v>65</v>
      </c>
      <c r="B67" s="12" t="s">
        <v>21</v>
      </c>
      <c r="C67" s="12">
        <v>10.67</v>
      </c>
      <c r="D67" s="12" t="s">
        <v>23</v>
      </c>
      <c r="E67" s="12">
        <v>19.82</v>
      </c>
      <c r="F67" s="12" t="s">
        <v>17</v>
      </c>
      <c r="G67" s="12">
        <v>35</v>
      </c>
      <c r="H67" s="12">
        <v>32</v>
      </c>
      <c r="I67" s="12" t="s">
        <v>18</v>
      </c>
      <c r="J67" s="12">
        <v>2.5</v>
      </c>
      <c r="K67" s="12">
        <v>30.5</v>
      </c>
      <c r="L67" s="12">
        <v>91.45</v>
      </c>
      <c r="M67" s="12">
        <v>0.16189999999999999</v>
      </c>
      <c r="N67" s="12">
        <v>-2.0419999999999998</v>
      </c>
      <c r="O67" s="12">
        <v>6.18</v>
      </c>
      <c r="P67" s="1">
        <v>707800</v>
      </c>
      <c r="Q67" s="1">
        <v>4.5755789968434701</v>
      </c>
      <c r="R67">
        <v>3.8753506961317101</v>
      </c>
      <c r="S67">
        <f t="shared" ref="S67:S115" si="3">Q67-R67</f>
        <v>0.70022830071176001</v>
      </c>
      <c r="T67">
        <f t="shared" ref="T67:T115" si="4">S67+1.64743</f>
        <v>2.34765830071176</v>
      </c>
      <c r="U67">
        <f t="shared" ref="U67:U115" si="5">T67/2.96582</f>
        <v>0.79157140376413948</v>
      </c>
      <c r="V67" s="61">
        <v>0.82003889101704308</v>
      </c>
    </row>
    <row r="68" spans="1:22" x14ac:dyDescent="0.4">
      <c r="A68" s="17" t="s">
        <v>66</v>
      </c>
      <c r="B68" s="12" t="s">
        <v>23</v>
      </c>
      <c r="C68" s="12">
        <v>12.85</v>
      </c>
      <c r="D68" s="12" t="s">
        <v>22</v>
      </c>
      <c r="E68" s="12">
        <v>51.4</v>
      </c>
      <c r="F68" s="12" t="s">
        <v>20</v>
      </c>
      <c r="G68" s="12">
        <v>15</v>
      </c>
      <c r="H68" s="12">
        <v>19.25</v>
      </c>
      <c r="I68" s="12" t="s">
        <v>38</v>
      </c>
      <c r="J68" s="12">
        <v>1.5</v>
      </c>
      <c r="K68" s="12">
        <v>64.25</v>
      </c>
      <c r="L68" s="12">
        <v>3602</v>
      </c>
      <c r="M68" s="12">
        <v>0.97089999999999999</v>
      </c>
      <c r="N68" s="12">
        <v>18.649999999999999</v>
      </c>
      <c r="O68" s="12">
        <v>4</v>
      </c>
      <c r="P68" s="1">
        <v>92566.666666666701</v>
      </c>
      <c r="Q68" s="1">
        <v>3.6921230635725601</v>
      </c>
      <c r="R68">
        <v>3.8753506961317101</v>
      </c>
      <c r="S68">
        <f t="shared" si="3"/>
        <v>-0.18322763255914998</v>
      </c>
      <c r="T68">
        <f t="shared" si="4"/>
        <v>1.46420236744085</v>
      </c>
      <c r="U68">
        <f t="shared" si="5"/>
        <v>0.49369225625319474</v>
      </c>
      <c r="V68" s="61">
        <v>0.34736744316486956</v>
      </c>
    </row>
    <row r="69" spans="1:22" x14ac:dyDescent="0.4">
      <c r="A69" s="17" t="s">
        <v>67</v>
      </c>
      <c r="B69" s="12" t="s">
        <v>21</v>
      </c>
      <c r="C69" s="12">
        <v>33.5</v>
      </c>
      <c r="D69" s="12" t="s">
        <v>23</v>
      </c>
      <c r="E69" s="12">
        <v>33.5</v>
      </c>
      <c r="F69" s="12" t="s">
        <v>17</v>
      </c>
      <c r="G69" s="12">
        <v>5</v>
      </c>
      <c r="H69" s="12">
        <v>25.5</v>
      </c>
      <c r="I69" s="12" t="s">
        <v>38</v>
      </c>
      <c r="J69" s="12">
        <v>2.5</v>
      </c>
      <c r="K69" s="12">
        <v>67</v>
      </c>
      <c r="L69" s="12">
        <v>883.6</v>
      </c>
      <c r="M69" s="12">
        <v>0.53190000000000004</v>
      </c>
      <c r="N69" s="12">
        <v>-5.109</v>
      </c>
      <c r="O69" s="12">
        <v>4.42</v>
      </c>
      <c r="P69" s="1">
        <v>26700</v>
      </c>
      <c r="Q69" s="1">
        <v>3.1521796999065401</v>
      </c>
      <c r="R69">
        <v>3.8753506961317101</v>
      </c>
      <c r="S69">
        <f t="shared" si="3"/>
        <v>-0.72317099622517</v>
      </c>
      <c r="T69">
        <f t="shared" si="4"/>
        <v>0.92425900377482995</v>
      </c>
      <c r="U69">
        <f t="shared" si="5"/>
        <v>0.31163691787594322</v>
      </c>
      <c r="V69" s="61">
        <v>0.13520754082938652</v>
      </c>
    </row>
    <row r="70" spans="1:22" x14ac:dyDescent="0.4">
      <c r="A70" s="17" t="s">
        <v>68</v>
      </c>
      <c r="B70" s="12" t="s">
        <v>23</v>
      </c>
      <c r="C70" s="12">
        <v>15.14</v>
      </c>
      <c r="D70" s="12" t="s">
        <v>19</v>
      </c>
      <c r="E70" s="12">
        <v>28.11</v>
      </c>
      <c r="F70" s="12" t="s">
        <v>20</v>
      </c>
      <c r="G70" s="12">
        <v>35</v>
      </c>
      <c r="H70" s="12">
        <v>19.25</v>
      </c>
      <c r="I70" s="12" t="s">
        <v>38</v>
      </c>
      <c r="J70" s="12">
        <v>2.5</v>
      </c>
      <c r="K70" s="12">
        <v>43.25</v>
      </c>
      <c r="L70" s="12">
        <v>99.32</v>
      </c>
      <c r="M70" s="12">
        <v>0.23830000000000001</v>
      </c>
      <c r="N70" s="12">
        <v>-2.8929999999999998</v>
      </c>
      <c r="O70" s="12">
        <v>6.22</v>
      </c>
      <c r="P70" s="1">
        <v>34956.666666666701</v>
      </c>
      <c r="Q70" s="1">
        <v>3.2691984518266501</v>
      </c>
      <c r="R70">
        <v>3.8753506961317101</v>
      </c>
      <c r="S70">
        <f t="shared" si="3"/>
        <v>-0.60615224430505998</v>
      </c>
      <c r="T70">
        <f t="shared" si="4"/>
        <v>1.04127775569494</v>
      </c>
      <c r="U70">
        <f t="shared" si="5"/>
        <v>0.35109270140970794</v>
      </c>
      <c r="V70" s="61">
        <v>-2.007911930823629E-2</v>
      </c>
    </row>
    <row r="71" spans="1:22" x14ac:dyDescent="0.4">
      <c r="A71" s="17" t="s">
        <v>69</v>
      </c>
      <c r="B71" s="12" t="s">
        <v>36</v>
      </c>
      <c r="C71" s="12">
        <v>4.5999999999999996</v>
      </c>
      <c r="D71" s="12" t="s">
        <v>23</v>
      </c>
      <c r="E71" s="12">
        <v>18.399999999999999</v>
      </c>
      <c r="F71" s="12" t="s">
        <v>20</v>
      </c>
      <c r="G71" s="12">
        <v>50</v>
      </c>
      <c r="H71" s="12">
        <v>25.5</v>
      </c>
      <c r="I71" s="12" t="s">
        <v>43</v>
      </c>
      <c r="J71" s="12">
        <v>1.5</v>
      </c>
      <c r="K71" s="12">
        <v>23</v>
      </c>
      <c r="L71" s="12">
        <v>114.5</v>
      </c>
      <c r="M71" s="12">
        <v>0.28639999999999999</v>
      </c>
      <c r="N71" s="12">
        <v>-1.742</v>
      </c>
      <c r="O71" s="12">
        <v>6.51</v>
      </c>
      <c r="P71" s="1">
        <v>114610</v>
      </c>
      <c r="Q71" s="1">
        <v>3.78489095107166</v>
      </c>
      <c r="R71">
        <v>3.8753506961317101</v>
      </c>
      <c r="S71">
        <f t="shared" si="3"/>
        <v>-9.0459745060050167E-2</v>
      </c>
      <c r="T71">
        <f t="shared" si="4"/>
        <v>1.5569702549399498</v>
      </c>
      <c r="U71">
        <f t="shared" si="5"/>
        <v>0.52497125750718177</v>
      </c>
      <c r="V71" s="61">
        <v>8.5256909114756113E-2</v>
      </c>
    </row>
    <row r="72" spans="1:22" x14ac:dyDescent="0.4">
      <c r="A72" s="17" t="s">
        <v>70</v>
      </c>
      <c r="B72" s="12" t="s">
        <v>21</v>
      </c>
      <c r="C72" s="12">
        <v>18.11</v>
      </c>
      <c r="D72" s="12" t="s">
        <v>22</v>
      </c>
      <c r="E72" s="12">
        <v>33.64</v>
      </c>
      <c r="F72" s="12" t="s">
        <v>20</v>
      </c>
      <c r="G72" s="12">
        <v>25</v>
      </c>
      <c r="H72" s="12">
        <v>19.25</v>
      </c>
      <c r="I72" s="12" t="s">
        <v>43</v>
      </c>
      <c r="J72" s="12">
        <v>4</v>
      </c>
      <c r="K72" s="12">
        <v>51.75</v>
      </c>
      <c r="L72" s="12">
        <v>604.6</v>
      </c>
      <c r="M72" s="12">
        <v>0.74809999999999999</v>
      </c>
      <c r="N72" s="12">
        <v>0.79020000000000001</v>
      </c>
      <c r="O72" s="12">
        <v>7.22</v>
      </c>
      <c r="P72" s="1">
        <v>54916.666666666701</v>
      </c>
      <c r="Q72" s="1">
        <v>3.4653726070883599</v>
      </c>
      <c r="R72">
        <v>3.8753506961317101</v>
      </c>
      <c r="S72">
        <f t="shared" si="3"/>
        <v>-0.4099780890433502</v>
      </c>
      <c r="T72">
        <f t="shared" si="4"/>
        <v>1.2374519109566497</v>
      </c>
      <c r="U72">
        <f t="shared" si="5"/>
        <v>0.41723769849709347</v>
      </c>
      <c r="V72" s="61">
        <v>3.9343062522717798E-2</v>
      </c>
    </row>
    <row r="73" spans="1:22" x14ac:dyDescent="0.4">
      <c r="A73" s="17" t="s">
        <v>71</v>
      </c>
      <c r="B73" s="12" t="s">
        <v>21</v>
      </c>
      <c r="C73" s="12">
        <v>13.1</v>
      </c>
      <c r="D73" s="12" t="s">
        <v>23</v>
      </c>
      <c r="E73" s="12">
        <v>52.4</v>
      </c>
      <c r="F73" s="12" t="s">
        <v>20</v>
      </c>
      <c r="G73" s="12">
        <v>5</v>
      </c>
      <c r="H73" s="12">
        <v>25.5</v>
      </c>
      <c r="I73" s="12" t="s">
        <v>43</v>
      </c>
      <c r="J73" s="12">
        <v>4</v>
      </c>
      <c r="K73" s="12">
        <v>65.5</v>
      </c>
      <c r="L73" s="12">
        <v>99.16</v>
      </c>
      <c r="M73" s="12">
        <v>9.2069999999999999E-2</v>
      </c>
      <c r="N73" s="12">
        <v>-2.524</v>
      </c>
      <c r="O73" s="12">
        <v>6.47</v>
      </c>
      <c r="P73" s="1">
        <v>268900</v>
      </c>
      <c r="Q73" s="1">
        <v>4.15525924076527</v>
      </c>
      <c r="R73">
        <v>3.8753506961317101</v>
      </c>
      <c r="S73">
        <f t="shared" si="3"/>
        <v>0.27990854463355985</v>
      </c>
      <c r="T73">
        <f t="shared" si="4"/>
        <v>1.9273385446335598</v>
      </c>
      <c r="U73">
        <f t="shared" si="5"/>
        <v>0.64985014081554504</v>
      </c>
      <c r="V73" s="61">
        <v>0.39465949521481281</v>
      </c>
    </row>
    <row r="74" spans="1:22" x14ac:dyDescent="0.4">
      <c r="A74" s="17" t="s">
        <v>72</v>
      </c>
      <c r="B74" s="12" t="s">
        <v>36</v>
      </c>
      <c r="C74" s="12">
        <v>6.1</v>
      </c>
      <c r="D74" s="12" t="s">
        <v>23</v>
      </c>
      <c r="E74" s="12">
        <v>24.4</v>
      </c>
      <c r="F74" s="12" t="s">
        <v>17</v>
      </c>
      <c r="G74" s="12">
        <v>35</v>
      </c>
      <c r="H74" s="12">
        <v>32</v>
      </c>
      <c r="I74" s="12" t="s">
        <v>43</v>
      </c>
      <c r="J74" s="12">
        <v>2.5</v>
      </c>
      <c r="K74" s="12">
        <v>30.5</v>
      </c>
      <c r="L74" s="12">
        <v>130.5</v>
      </c>
      <c r="M74" s="12">
        <v>0.1323</v>
      </c>
      <c r="N74" s="12">
        <v>-1.4139999999999999</v>
      </c>
      <c r="O74" s="12">
        <v>7.13</v>
      </c>
      <c r="P74" s="1">
        <v>173000</v>
      </c>
      <c r="Q74" s="1">
        <v>3.9637145416707602</v>
      </c>
      <c r="R74">
        <v>3.8753506961317101</v>
      </c>
      <c r="S74">
        <f t="shared" si="3"/>
        <v>8.8363845539050079E-2</v>
      </c>
      <c r="T74">
        <f t="shared" si="4"/>
        <v>1.73579384553905</v>
      </c>
      <c r="U74">
        <f t="shared" si="5"/>
        <v>0.58526608005173952</v>
      </c>
      <c r="V74" s="61">
        <v>0.36928707279148471</v>
      </c>
    </row>
    <row r="75" spans="1:22" x14ac:dyDescent="0.4">
      <c r="A75" s="17" t="s">
        <v>73</v>
      </c>
      <c r="B75" s="12" t="s">
        <v>36</v>
      </c>
      <c r="C75" s="12">
        <v>18.850000000000001</v>
      </c>
      <c r="D75" s="12" t="s">
        <v>36</v>
      </c>
      <c r="E75" s="12">
        <v>10.15</v>
      </c>
      <c r="F75" s="12" t="s">
        <v>17</v>
      </c>
      <c r="G75" s="12">
        <v>35</v>
      </c>
      <c r="H75" s="12">
        <v>32</v>
      </c>
      <c r="I75" s="12" t="s">
        <v>43</v>
      </c>
      <c r="J75" s="12">
        <v>4</v>
      </c>
      <c r="K75" s="12">
        <v>29</v>
      </c>
      <c r="L75" s="12">
        <v>141.5</v>
      </c>
      <c r="M75" s="12">
        <v>0.29289999999999999</v>
      </c>
      <c r="N75" s="12">
        <v>-3.222</v>
      </c>
      <c r="O75" s="12">
        <v>7.03</v>
      </c>
      <c r="P75" s="1">
        <v>34796.666666666701</v>
      </c>
      <c r="Q75" s="1">
        <v>3.2672060814078301</v>
      </c>
      <c r="R75">
        <v>3.8753506961317101</v>
      </c>
      <c r="S75">
        <f t="shared" si="3"/>
        <v>-0.60814461472388004</v>
      </c>
      <c r="T75">
        <f t="shared" si="4"/>
        <v>1.0392853852761199</v>
      </c>
      <c r="U75">
        <f t="shared" si="5"/>
        <v>0.35042092415457443</v>
      </c>
      <c r="V75" s="61">
        <v>0.63238142557726673</v>
      </c>
    </row>
    <row r="76" spans="1:22" x14ac:dyDescent="0.4">
      <c r="A76" s="17" t="s">
        <v>74</v>
      </c>
      <c r="B76" s="12" t="s">
        <v>36</v>
      </c>
      <c r="C76" s="12">
        <v>38.35</v>
      </c>
      <c r="D76" s="12" t="s">
        <v>36</v>
      </c>
      <c r="E76" s="12">
        <v>20.65</v>
      </c>
      <c r="F76" s="12" t="s">
        <v>20</v>
      </c>
      <c r="G76" s="12">
        <v>5</v>
      </c>
      <c r="H76" s="12">
        <v>32</v>
      </c>
      <c r="I76" s="12" t="s">
        <v>38</v>
      </c>
      <c r="J76" s="12">
        <v>4</v>
      </c>
      <c r="K76" s="12">
        <v>59</v>
      </c>
      <c r="L76" s="12">
        <v>3815</v>
      </c>
      <c r="M76" s="12">
        <v>1</v>
      </c>
      <c r="N76" s="12">
        <v>-2.2349999999999999</v>
      </c>
      <c r="O76" s="12">
        <v>7.13</v>
      </c>
      <c r="P76" s="1">
        <v>19800</v>
      </c>
      <c r="Q76" s="1">
        <v>3.0223336288035001</v>
      </c>
      <c r="R76">
        <v>3.8753506961317101</v>
      </c>
      <c r="S76">
        <f t="shared" si="3"/>
        <v>-0.85301706732821003</v>
      </c>
      <c r="T76">
        <f t="shared" si="4"/>
        <v>0.79441293267178992</v>
      </c>
      <c r="U76">
        <f t="shared" si="5"/>
        <v>0.26785608454720444</v>
      </c>
      <c r="V76" s="61">
        <v>0.27036185623409548</v>
      </c>
    </row>
    <row r="77" spans="1:22" x14ac:dyDescent="0.4">
      <c r="A77" s="17" t="s">
        <v>75</v>
      </c>
      <c r="B77" s="12" t="s">
        <v>36</v>
      </c>
      <c r="C77" s="12">
        <v>14.62</v>
      </c>
      <c r="D77" s="12" t="s">
        <v>36</v>
      </c>
      <c r="E77" s="12">
        <v>14.62</v>
      </c>
      <c r="F77" s="12" t="s">
        <v>20</v>
      </c>
      <c r="G77" s="12">
        <v>50</v>
      </c>
      <c r="H77" s="12">
        <v>19.25</v>
      </c>
      <c r="I77" s="12" t="s">
        <v>43</v>
      </c>
      <c r="J77" s="12">
        <v>1.5</v>
      </c>
      <c r="K77" s="12">
        <v>29.25</v>
      </c>
      <c r="L77" s="12">
        <v>163.30000000000001</v>
      </c>
      <c r="M77" s="12">
        <v>0.34339999999999998</v>
      </c>
      <c r="N77" s="12">
        <v>-0.56499999999999995</v>
      </c>
      <c r="O77" s="12">
        <v>6.22</v>
      </c>
      <c r="P77" s="1">
        <v>23236.666666666701</v>
      </c>
      <c r="Q77" s="1">
        <v>3.0918422665588201</v>
      </c>
      <c r="R77">
        <v>3.8753506961317101</v>
      </c>
      <c r="S77">
        <f t="shared" si="3"/>
        <v>-0.78350842957289002</v>
      </c>
      <c r="T77">
        <f t="shared" si="4"/>
        <v>0.86392157042710993</v>
      </c>
      <c r="U77">
        <f t="shared" si="5"/>
        <v>0.29129265108034541</v>
      </c>
      <c r="V77" s="61">
        <v>0.2871310479149044</v>
      </c>
    </row>
    <row r="78" spans="1:22" x14ac:dyDescent="0.4">
      <c r="A78" s="17" t="s">
        <v>76</v>
      </c>
      <c r="B78" s="12" t="s">
        <v>36</v>
      </c>
      <c r="C78" s="12">
        <v>18.11</v>
      </c>
      <c r="D78" s="12" t="s">
        <v>23</v>
      </c>
      <c r="E78" s="12">
        <v>33.64</v>
      </c>
      <c r="F78" s="12" t="s">
        <v>20</v>
      </c>
      <c r="G78" s="12">
        <v>25</v>
      </c>
      <c r="H78" s="12">
        <v>19.25</v>
      </c>
      <c r="I78" s="12" t="s">
        <v>18</v>
      </c>
      <c r="J78" s="12">
        <v>4</v>
      </c>
      <c r="K78" s="12">
        <v>51.75</v>
      </c>
      <c r="L78" s="12">
        <v>82.88</v>
      </c>
      <c r="M78" s="12">
        <v>0.18590000000000001</v>
      </c>
      <c r="N78" s="12">
        <v>-5.282</v>
      </c>
      <c r="O78" s="12">
        <v>6.65</v>
      </c>
      <c r="P78" s="1">
        <v>80796.666666666701</v>
      </c>
      <c r="Q78" s="1">
        <v>3.6330618825079601</v>
      </c>
      <c r="R78">
        <v>3.8753506961317101</v>
      </c>
      <c r="S78">
        <f t="shared" si="3"/>
        <v>-0.24228881362374999</v>
      </c>
      <c r="T78">
        <f t="shared" si="4"/>
        <v>1.40514118637625</v>
      </c>
      <c r="U78">
        <f t="shared" si="5"/>
        <v>0.47377830966688811</v>
      </c>
      <c r="V78" s="61">
        <v>0.52517882935957017</v>
      </c>
    </row>
    <row r="79" spans="1:22" x14ac:dyDescent="0.4">
      <c r="A79" s="17" t="s">
        <v>77</v>
      </c>
      <c r="B79" s="12" t="s">
        <v>21</v>
      </c>
      <c r="C79" s="12">
        <v>36.08</v>
      </c>
      <c r="D79" s="12" t="s">
        <v>36</v>
      </c>
      <c r="E79" s="12">
        <v>19.420000000000002</v>
      </c>
      <c r="F79" s="12" t="s">
        <v>17</v>
      </c>
      <c r="G79" s="12">
        <v>15</v>
      </c>
      <c r="H79" s="12">
        <v>25.5</v>
      </c>
      <c r="I79" s="12" t="s">
        <v>18</v>
      </c>
      <c r="J79" s="12">
        <v>4</v>
      </c>
      <c r="K79" s="12">
        <v>55.5</v>
      </c>
      <c r="L79" s="12">
        <v>91.85</v>
      </c>
      <c r="M79" s="12">
        <v>0.24390000000000001</v>
      </c>
      <c r="N79" s="12">
        <v>-3.93</v>
      </c>
      <c r="O79" s="12">
        <v>6.48</v>
      </c>
      <c r="P79" s="1">
        <v>295000</v>
      </c>
      <c r="Q79" s="1">
        <v>4.1954904545201304</v>
      </c>
      <c r="R79">
        <v>3.8753506961317101</v>
      </c>
      <c r="S79">
        <f t="shared" si="3"/>
        <v>0.32013975838842024</v>
      </c>
      <c r="T79">
        <f t="shared" si="4"/>
        <v>1.9675697583884202</v>
      </c>
      <c r="U79">
        <f t="shared" si="5"/>
        <v>0.66341509545030386</v>
      </c>
      <c r="V79" s="61">
        <v>0.5490979739690085</v>
      </c>
    </row>
    <row r="80" spans="1:22" x14ac:dyDescent="0.4">
      <c r="A80" s="18" t="s">
        <v>78</v>
      </c>
    </row>
    <row r="81" spans="1:22" x14ac:dyDescent="0.4">
      <c r="A81" s="18">
        <v>21</v>
      </c>
      <c r="B81" s="19" t="s">
        <v>23</v>
      </c>
      <c r="C81" s="19">
        <v>35.200000000000003</v>
      </c>
      <c r="D81" s="19" t="s">
        <v>23</v>
      </c>
      <c r="E81" s="19">
        <v>8.8000000000000007</v>
      </c>
      <c r="F81" s="20" t="s">
        <v>17</v>
      </c>
      <c r="G81" s="19">
        <v>15</v>
      </c>
      <c r="H81" s="19">
        <v>38.5</v>
      </c>
      <c r="I81" s="19" t="s">
        <v>38</v>
      </c>
      <c r="J81" s="19">
        <v>2.5</v>
      </c>
      <c r="K81" s="19">
        <v>44</v>
      </c>
      <c r="P81" s="1">
        <v>754933.33333333302</v>
      </c>
    </row>
    <row r="82" spans="1:22" x14ac:dyDescent="0.4">
      <c r="A82" s="18">
        <v>22</v>
      </c>
      <c r="B82" s="19" t="s">
        <v>23</v>
      </c>
      <c r="C82" s="19">
        <v>17.149999999999999</v>
      </c>
      <c r="D82" s="19" t="s">
        <v>22</v>
      </c>
      <c r="E82" s="19">
        <v>31.85</v>
      </c>
      <c r="F82" s="19" t="s">
        <v>20</v>
      </c>
      <c r="G82" s="19">
        <v>15</v>
      </c>
      <c r="H82" s="19">
        <v>32</v>
      </c>
      <c r="I82" s="19" t="s">
        <v>38</v>
      </c>
      <c r="J82" s="19">
        <v>4</v>
      </c>
      <c r="K82" s="19">
        <v>49</v>
      </c>
      <c r="P82" s="1">
        <v>136280</v>
      </c>
    </row>
    <row r="83" spans="1:22" x14ac:dyDescent="0.4">
      <c r="A83" s="18">
        <v>23</v>
      </c>
      <c r="B83" s="19" t="s">
        <v>15</v>
      </c>
      <c r="C83" s="19">
        <v>25</v>
      </c>
      <c r="D83" s="19" t="s">
        <v>19</v>
      </c>
      <c r="E83" s="19">
        <v>25</v>
      </c>
      <c r="F83" s="19" t="s">
        <v>17</v>
      </c>
      <c r="G83" s="19">
        <v>10</v>
      </c>
      <c r="H83" s="19">
        <v>38.5</v>
      </c>
      <c r="I83" s="19" t="s">
        <v>18</v>
      </c>
      <c r="J83" s="21">
        <v>1.5</v>
      </c>
      <c r="K83" s="19">
        <v>50</v>
      </c>
      <c r="P83" s="1">
        <v>53420</v>
      </c>
    </row>
    <row r="84" spans="1:22" x14ac:dyDescent="0.4">
      <c r="A84" s="18">
        <v>24</v>
      </c>
      <c r="B84" s="19" t="s">
        <v>19</v>
      </c>
      <c r="C84" s="19">
        <v>33</v>
      </c>
      <c r="D84" s="19" t="s">
        <v>23</v>
      </c>
      <c r="E84" s="19">
        <v>33</v>
      </c>
      <c r="F84" s="19" t="s">
        <v>17</v>
      </c>
      <c r="G84" s="19">
        <v>30</v>
      </c>
      <c r="H84" s="19">
        <v>0</v>
      </c>
      <c r="I84" s="19" t="s">
        <v>18</v>
      </c>
      <c r="J84" s="22">
        <v>4</v>
      </c>
      <c r="K84" s="19">
        <v>66</v>
      </c>
      <c r="P84" s="1">
        <v>289976.66666666698</v>
      </c>
    </row>
    <row r="85" spans="1:22" x14ac:dyDescent="0.4">
      <c r="A85" s="18">
        <v>25</v>
      </c>
      <c r="B85" s="19" t="s">
        <v>23</v>
      </c>
      <c r="C85" s="19">
        <v>25</v>
      </c>
      <c r="D85" s="19" t="s">
        <v>19</v>
      </c>
      <c r="E85" s="19">
        <v>25</v>
      </c>
      <c r="F85" s="19" t="s">
        <v>17</v>
      </c>
      <c r="G85" s="19">
        <v>10</v>
      </c>
      <c r="H85" s="19">
        <v>38.5</v>
      </c>
      <c r="I85" s="19" t="s">
        <v>18</v>
      </c>
      <c r="J85" s="23">
        <v>1.5</v>
      </c>
      <c r="K85" s="19">
        <v>50</v>
      </c>
      <c r="P85" s="1">
        <v>153253.33333333299</v>
      </c>
    </row>
    <row r="86" spans="1:22" x14ac:dyDescent="0.4">
      <c r="A86" s="10" t="s">
        <v>25</v>
      </c>
      <c r="B86" s="3" t="s">
        <v>26</v>
      </c>
      <c r="C86" s="3" t="s">
        <v>27</v>
      </c>
      <c r="D86" s="3" t="s">
        <v>28</v>
      </c>
      <c r="E86" s="3" t="s">
        <v>29</v>
      </c>
      <c r="F86" s="3" t="s">
        <v>30</v>
      </c>
      <c r="G86" s="3" t="s">
        <v>31</v>
      </c>
      <c r="H86" s="3" t="s">
        <v>32</v>
      </c>
      <c r="I86" s="3" t="s">
        <v>8</v>
      </c>
      <c r="J86" s="3" t="s">
        <v>33</v>
      </c>
      <c r="K86" s="3" t="s">
        <v>34</v>
      </c>
      <c r="L86" s="2" t="s">
        <v>11</v>
      </c>
      <c r="M86" s="2" t="s">
        <v>12</v>
      </c>
      <c r="N86" s="2" t="s">
        <v>13</v>
      </c>
      <c r="O86" s="2"/>
      <c r="P86" s="2" t="s">
        <v>14</v>
      </c>
    </row>
    <row r="87" spans="1:22" ht="23.25" x14ac:dyDescent="0.4">
      <c r="A87" s="24" t="s">
        <v>79</v>
      </c>
      <c r="B87" s="25" t="s">
        <v>36</v>
      </c>
      <c r="C87" s="26">
        <v>28.14</v>
      </c>
      <c r="D87" s="26" t="s">
        <v>23</v>
      </c>
      <c r="E87" s="26">
        <v>12.06</v>
      </c>
      <c r="F87" s="26" t="s">
        <v>17</v>
      </c>
      <c r="G87" s="26">
        <v>25.12</v>
      </c>
      <c r="H87" s="26">
        <v>32.159999999999997</v>
      </c>
      <c r="I87" s="26" t="s">
        <v>18</v>
      </c>
      <c r="J87" s="26">
        <v>2.5099999999999998</v>
      </c>
      <c r="K87" s="26">
        <v>40.200000000000003</v>
      </c>
      <c r="L87" s="27">
        <v>115</v>
      </c>
      <c r="M87" s="27">
        <v>0.2079</v>
      </c>
      <c r="N87" s="27">
        <v>-0.75749999999999995</v>
      </c>
      <c r="O87" s="27">
        <v>5.99</v>
      </c>
      <c r="P87" s="2">
        <v>79390</v>
      </c>
      <c r="Q87" s="1">
        <v>4.8997658019443904</v>
      </c>
      <c r="R87">
        <v>3.8753506961317101</v>
      </c>
      <c r="S87">
        <f t="shared" si="3"/>
        <v>1.0244151058126802</v>
      </c>
      <c r="T87">
        <f t="shared" si="4"/>
        <v>2.6718451058126802</v>
      </c>
      <c r="U87">
        <f t="shared" si="5"/>
        <v>0.90087905058725082</v>
      </c>
      <c r="V87" s="61">
        <v>0.63729764129004229</v>
      </c>
    </row>
    <row r="88" spans="1:22" ht="23.25" x14ac:dyDescent="0.4">
      <c r="A88" s="24" t="s">
        <v>80</v>
      </c>
      <c r="B88" s="25" t="s">
        <v>36</v>
      </c>
      <c r="C88" s="26">
        <v>24.12</v>
      </c>
      <c r="D88" s="26" t="s">
        <v>23</v>
      </c>
      <c r="E88" s="26">
        <v>16.079999999999998</v>
      </c>
      <c r="F88" s="26" t="s">
        <v>17</v>
      </c>
      <c r="G88" s="26">
        <v>25.12</v>
      </c>
      <c r="H88" s="26">
        <v>32.159999999999997</v>
      </c>
      <c r="I88" s="26" t="s">
        <v>18</v>
      </c>
      <c r="J88" s="26">
        <v>2.5099999999999998</v>
      </c>
      <c r="K88" s="26">
        <v>40.200000000000003</v>
      </c>
      <c r="L88" s="27">
        <v>102.5</v>
      </c>
      <c r="M88" s="27">
        <v>0.25950000000000001</v>
      </c>
      <c r="N88" s="27">
        <v>-0.2044</v>
      </c>
      <c r="O88" s="27">
        <v>6.5</v>
      </c>
      <c r="P88" s="2">
        <v>37580</v>
      </c>
      <c r="Q88" s="1">
        <v>4.5749567757645098</v>
      </c>
      <c r="R88">
        <v>3.8753506961317101</v>
      </c>
      <c r="S88">
        <f t="shared" si="3"/>
        <v>0.69960607963279964</v>
      </c>
      <c r="T88">
        <f t="shared" si="4"/>
        <v>2.3470360796327996</v>
      </c>
      <c r="U88">
        <f t="shared" si="5"/>
        <v>0.79136160644705333</v>
      </c>
      <c r="V88" s="61">
        <v>0.65062674374921214</v>
      </c>
    </row>
    <row r="89" spans="1:22" ht="23.25" x14ac:dyDescent="0.4">
      <c r="A89" s="24" t="s">
        <v>81</v>
      </c>
      <c r="B89" s="25" t="s">
        <v>36</v>
      </c>
      <c r="C89" s="26">
        <v>20.100000000000001</v>
      </c>
      <c r="D89" s="26" t="s">
        <v>23</v>
      </c>
      <c r="E89" s="26">
        <v>20.100000000000001</v>
      </c>
      <c r="F89" s="26" t="s">
        <v>17</v>
      </c>
      <c r="G89" s="26">
        <v>25.13</v>
      </c>
      <c r="H89" s="26">
        <v>32.159999999999997</v>
      </c>
      <c r="I89" s="26" t="s">
        <v>18</v>
      </c>
      <c r="J89" s="26">
        <v>2.5099999999999998</v>
      </c>
      <c r="K89" s="26">
        <v>40.200000000000003</v>
      </c>
      <c r="L89" s="27">
        <v>143.6</v>
      </c>
      <c r="M89" s="27">
        <v>0.35210000000000002</v>
      </c>
      <c r="N89" s="27">
        <v>0.30709999999999998</v>
      </c>
      <c r="O89" s="27">
        <v>5.58</v>
      </c>
      <c r="P89" s="2">
        <v>34300</v>
      </c>
      <c r="Q89" s="1">
        <v>4.5352941200427699</v>
      </c>
      <c r="R89">
        <v>3.8753506961317101</v>
      </c>
      <c r="S89">
        <f t="shared" si="3"/>
        <v>0.65994342391105976</v>
      </c>
      <c r="T89">
        <f t="shared" si="4"/>
        <v>2.3073734239110597</v>
      </c>
      <c r="U89">
        <f t="shared" si="5"/>
        <v>0.77798835529838617</v>
      </c>
      <c r="V89" s="61">
        <v>0.66239668645888461</v>
      </c>
    </row>
    <row r="90" spans="1:22" ht="23.25" x14ac:dyDescent="0.4">
      <c r="A90" s="24" t="s">
        <v>82</v>
      </c>
      <c r="B90" s="25" t="s">
        <v>36</v>
      </c>
      <c r="C90" s="26">
        <v>16.079999999999998</v>
      </c>
      <c r="D90" s="26" t="s">
        <v>23</v>
      </c>
      <c r="E90" s="26">
        <v>24.12</v>
      </c>
      <c r="F90" s="26" t="s">
        <v>17</v>
      </c>
      <c r="G90" s="26">
        <v>25.13</v>
      </c>
      <c r="H90" s="26">
        <v>32.159999999999997</v>
      </c>
      <c r="I90" s="26" t="s">
        <v>18</v>
      </c>
      <c r="J90" s="26">
        <v>2.5099999999999998</v>
      </c>
      <c r="K90" s="26">
        <v>40.200000000000003</v>
      </c>
      <c r="L90" s="27">
        <v>97.29</v>
      </c>
      <c r="M90" s="27">
        <v>0.23910000000000001</v>
      </c>
      <c r="N90" s="27">
        <v>-2.984</v>
      </c>
      <c r="O90" s="27">
        <v>6.1</v>
      </c>
      <c r="P90" s="2">
        <v>43046.666666666701</v>
      </c>
      <c r="Q90" s="1">
        <v>4.6339395273501598</v>
      </c>
      <c r="R90">
        <v>3.8753506961317101</v>
      </c>
      <c r="S90">
        <f t="shared" si="3"/>
        <v>0.75858883121844967</v>
      </c>
      <c r="T90">
        <f t="shared" si="4"/>
        <v>2.4060188312184496</v>
      </c>
      <c r="U90">
        <f t="shared" si="5"/>
        <v>0.81124910858327537</v>
      </c>
      <c r="V90" s="61">
        <v>0.66400963297504423</v>
      </c>
    </row>
    <row r="91" spans="1:22" ht="23.25" x14ac:dyDescent="0.4">
      <c r="A91" s="24" t="s">
        <v>83</v>
      </c>
      <c r="B91" s="25" t="s">
        <v>36</v>
      </c>
      <c r="C91" s="26">
        <v>29.17</v>
      </c>
      <c r="D91" s="26" t="s">
        <v>23</v>
      </c>
      <c r="E91" s="26">
        <v>12.5</v>
      </c>
      <c r="F91" s="26" t="s">
        <v>17</v>
      </c>
      <c r="G91" s="26">
        <v>15.62</v>
      </c>
      <c r="H91" s="26">
        <v>40.1</v>
      </c>
      <c r="I91" s="26" t="s">
        <v>18</v>
      </c>
      <c r="J91" s="26">
        <v>2.6</v>
      </c>
      <c r="K91" s="26">
        <v>41.67</v>
      </c>
      <c r="L91" s="27">
        <v>104.5</v>
      </c>
      <c r="M91" s="27">
        <v>0.23280000000000001</v>
      </c>
      <c r="N91" s="27">
        <v>-1.454</v>
      </c>
      <c r="O91" s="27">
        <v>6.55</v>
      </c>
      <c r="P91" s="2">
        <v>31040</v>
      </c>
      <c r="Q91" s="1">
        <v>4.4919217125861497</v>
      </c>
      <c r="R91">
        <v>3.8753506961317101</v>
      </c>
      <c r="S91">
        <f t="shared" si="3"/>
        <v>0.61657101645443957</v>
      </c>
      <c r="T91">
        <f t="shared" si="4"/>
        <v>2.2640010164544395</v>
      </c>
      <c r="U91">
        <f t="shared" si="5"/>
        <v>0.76336426905693522</v>
      </c>
      <c r="V91" s="61">
        <v>0.63071625593193648</v>
      </c>
    </row>
    <row r="92" spans="1:22" ht="23.25" x14ac:dyDescent="0.4">
      <c r="A92" s="24" t="s">
        <v>84</v>
      </c>
      <c r="B92" s="25" t="s">
        <v>36</v>
      </c>
      <c r="C92" s="26">
        <v>25</v>
      </c>
      <c r="D92" s="26" t="s">
        <v>23</v>
      </c>
      <c r="E92" s="26">
        <v>16.670000000000002</v>
      </c>
      <c r="F92" s="26" t="s">
        <v>17</v>
      </c>
      <c r="G92" s="26">
        <v>15.62</v>
      </c>
      <c r="H92" s="26">
        <v>40.11</v>
      </c>
      <c r="I92" s="26" t="s">
        <v>18</v>
      </c>
      <c r="J92" s="26">
        <v>2.6</v>
      </c>
      <c r="K92" s="26">
        <v>41.67</v>
      </c>
      <c r="L92" s="27">
        <v>144.80000000000001</v>
      </c>
      <c r="M92" s="27">
        <v>0.25629999999999997</v>
      </c>
      <c r="N92" s="27">
        <v>-0.94899999999999995</v>
      </c>
      <c r="O92" s="27">
        <v>6.12</v>
      </c>
      <c r="P92" s="2">
        <v>43946.666666666701</v>
      </c>
      <c r="Q92" s="1">
        <v>4.64292593963338</v>
      </c>
      <c r="R92">
        <v>3.8753506961317101</v>
      </c>
      <c r="S92">
        <f t="shared" si="3"/>
        <v>0.76757524350166983</v>
      </c>
      <c r="T92">
        <f t="shared" si="4"/>
        <v>2.4150052435016698</v>
      </c>
      <c r="U92">
        <f t="shared" si="5"/>
        <v>0.81427910105861778</v>
      </c>
      <c r="V92" s="61">
        <v>0.6254362541520565</v>
      </c>
    </row>
    <row r="93" spans="1:22" ht="23.25" x14ac:dyDescent="0.4">
      <c r="A93" s="28" t="s">
        <v>85</v>
      </c>
      <c r="B93" s="29" t="s">
        <v>36</v>
      </c>
      <c r="C93" s="30">
        <v>24.12</v>
      </c>
      <c r="D93" s="30" t="s">
        <v>23</v>
      </c>
      <c r="E93" s="30">
        <v>16.079999999999998</v>
      </c>
      <c r="F93" s="30" t="s">
        <v>17</v>
      </c>
      <c r="G93" s="30">
        <v>25.12</v>
      </c>
      <c r="H93" s="30">
        <v>32.159999999999997</v>
      </c>
      <c r="I93" s="30" t="s">
        <v>43</v>
      </c>
      <c r="J93" s="30">
        <v>2.5099999999999998</v>
      </c>
      <c r="K93" s="30">
        <v>40.200000000000003</v>
      </c>
      <c r="L93" s="27">
        <v>138.69999999999999</v>
      </c>
      <c r="M93" s="27">
        <v>0.15310000000000001</v>
      </c>
      <c r="N93" s="27">
        <v>-1.726</v>
      </c>
      <c r="O93" s="27">
        <v>6.23</v>
      </c>
      <c r="P93" s="2">
        <v>38133.333333333299</v>
      </c>
      <c r="Q93" s="1">
        <v>4.5813047697373399</v>
      </c>
      <c r="R93">
        <v>3.8753506961317101</v>
      </c>
      <c r="S93">
        <f t="shared" si="3"/>
        <v>0.70595407360562978</v>
      </c>
      <c r="T93">
        <f t="shared" si="4"/>
        <v>2.3533840736056297</v>
      </c>
      <c r="U93">
        <f t="shared" si="5"/>
        <v>0.79350199054751458</v>
      </c>
      <c r="V93" s="61">
        <v>0.71499360126230371</v>
      </c>
    </row>
    <row r="94" spans="1:22" ht="23.25" x14ac:dyDescent="0.4">
      <c r="A94" s="28" t="s">
        <v>86</v>
      </c>
      <c r="B94" s="29" t="s">
        <v>36</v>
      </c>
      <c r="C94" s="30">
        <v>20.100000000000001</v>
      </c>
      <c r="D94" s="30" t="s">
        <v>23</v>
      </c>
      <c r="E94" s="30">
        <v>20.100000000000001</v>
      </c>
      <c r="F94" s="30" t="s">
        <v>17</v>
      </c>
      <c r="G94" s="30">
        <v>25.13</v>
      </c>
      <c r="H94" s="30">
        <v>32.159999999999997</v>
      </c>
      <c r="I94" s="30" t="s">
        <v>43</v>
      </c>
      <c r="J94" s="30">
        <v>2.5099999999999998</v>
      </c>
      <c r="K94" s="30">
        <v>40.200000000000003</v>
      </c>
      <c r="L94" s="27">
        <v>154.6</v>
      </c>
      <c r="M94" s="27">
        <v>0.13980000000000001</v>
      </c>
      <c r="N94" s="27">
        <v>-2.5489999999999999</v>
      </c>
      <c r="O94" s="27">
        <v>6.68</v>
      </c>
      <c r="P94" s="2">
        <v>62340</v>
      </c>
      <c r="Q94" s="1">
        <v>4.7947667979408202</v>
      </c>
      <c r="R94">
        <v>3.8753506961317101</v>
      </c>
      <c r="S94">
        <f t="shared" si="3"/>
        <v>0.91941610180911004</v>
      </c>
      <c r="T94">
        <f t="shared" si="4"/>
        <v>2.56684610180911</v>
      </c>
      <c r="U94">
        <f t="shared" si="5"/>
        <v>0.865476024104332</v>
      </c>
      <c r="V94" s="61">
        <v>0.62261620901601011</v>
      </c>
    </row>
    <row r="95" spans="1:22" ht="23.25" x14ac:dyDescent="0.4">
      <c r="A95" s="31" t="s">
        <v>87</v>
      </c>
      <c r="B95" s="32" t="s">
        <v>21</v>
      </c>
      <c r="C95" s="33">
        <v>8</v>
      </c>
      <c r="D95" s="33" t="s">
        <v>23</v>
      </c>
      <c r="E95" s="33">
        <v>17</v>
      </c>
      <c r="F95" s="33" t="s">
        <v>17</v>
      </c>
      <c r="G95" s="33">
        <v>35</v>
      </c>
      <c r="H95" s="33">
        <v>38.5</v>
      </c>
      <c r="I95" s="26" t="s">
        <v>18</v>
      </c>
      <c r="J95" s="33">
        <v>1.5</v>
      </c>
      <c r="K95" s="33">
        <v>25</v>
      </c>
      <c r="L95" s="27">
        <v>133</v>
      </c>
      <c r="M95" s="27">
        <v>0.1192</v>
      </c>
      <c r="N95" s="27">
        <v>-5.3440000000000003</v>
      </c>
      <c r="O95" s="27">
        <v>6.12</v>
      </c>
      <c r="P95" s="2">
        <v>138876.66666666701</v>
      </c>
      <c r="Q95" s="1">
        <v>5.1426292839726404</v>
      </c>
      <c r="R95">
        <v>3.8753506961317101</v>
      </c>
      <c r="S95">
        <f t="shared" si="3"/>
        <v>1.2672785878409303</v>
      </c>
      <c r="T95">
        <f t="shared" si="4"/>
        <v>2.9147085878409302</v>
      </c>
      <c r="U95">
        <f t="shared" si="5"/>
        <v>0.98276651578346974</v>
      </c>
      <c r="V95" s="61">
        <v>0.65816951336412266</v>
      </c>
    </row>
    <row r="96" spans="1:22" ht="23.25" x14ac:dyDescent="0.4">
      <c r="A96" s="31" t="s">
        <v>88</v>
      </c>
      <c r="B96" s="32" t="s">
        <v>21</v>
      </c>
      <c r="C96" s="33">
        <v>10.050000000000001</v>
      </c>
      <c r="D96" s="33" t="s">
        <v>23</v>
      </c>
      <c r="E96" s="33">
        <v>20.100000000000001</v>
      </c>
      <c r="F96" s="33" t="s">
        <v>17</v>
      </c>
      <c r="G96" s="33">
        <v>35.18</v>
      </c>
      <c r="H96" s="33">
        <v>32.159999999999997</v>
      </c>
      <c r="I96" s="26" t="s">
        <v>18</v>
      </c>
      <c r="J96" s="33">
        <v>2.5099999999999998</v>
      </c>
      <c r="K96" s="33">
        <v>30.15</v>
      </c>
      <c r="L96" s="27">
        <v>104.6</v>
      </c>
      <c r="M96" s="27">
        <v>0.20050000000000001</v>
      </c>
      <c r="N96" s="27">
        <v>-3.637</v>
      </c>
      <c r="O96" s="27">
        <v>6.13</v>
      </c>
      <c r="P96" s="2">
        <v>114400</v>
      </c>
      <c r="Q96" s="1">
        <v>5.0584260244570096</v>
      </c>
      <c r="R96">
        <v>3.8753506961317101</v>
      </c>
      <c r="S96">
        <f t="shared" si="3"/>
        <v>1.1830753283252995</v>
      </c>
      <c r="T96">
        <f t="shared" si="4"/>
        <v>2.8305053283252994</v>
      </c>
      <c r="U96">
        <f t="shared" si="5"/>
        <v>0.95437529193454074</v>
      </c>
      <c r="V96" s="61">
        <v>0.61532457252668415</v>
      </c>
    </row>
    <row r="97" spans="1:22" ht="23.25" x14ac:dyDescent="0.4">
      <c r="A97" s="31" t="s">
        <v>89</v>
      </c>
      <c r="B97" s="32" t="s">
        <v>21</v>
      </c>
      <c r="C97" s="33">
        <v>11.94</v>
      </c>
      <c r="D97" s="33" t="s">
        <v>23</v>
      </c>
      <c r="E97" s="33">
        <v>22.89</v>
      </c>
      <c r="F97" s="33" t="s">
        <v>17</v>
      </c>
      <c r="G97" s="33">
        <v>34.83</v>
      </c>
      <c r="H97" s="33">
        <v>27.86</v>
      </c>
      <c r="I97" s="26" t="s">
        <v>18</v>
      </c>
      <c r="J97" s="33">
        <v>2.4900000000000002</v>
      </c>
      <c r="K97" s="33">
        <v>34.83</v>
      </c>
      <c r="L97" s="27">
        <v>110.3</v>
      </c>
      <c r="M97" s="27">
        <v>0.1883</v>
      </c>
      <c r="N97" s="27">
        <v>-3.6280000000000001</v>
      </c>
      <c r="O97" s="27">
        <v>5.89</v>
      </c>
      <c r="P97" s="2">
        <v>156220</v>
      </c>
      <c r="Q97" s="1">
        <v>5.1937366334696504</v>
      </c>
      <c r="R97">
        <v>3.8753506961317101</v>
      </c>
      <c r="S97" s="55">
        <f t="shared" si="3"/>
        <v>1.3183859373379403</v>
      </c>
      <c r="T97">
        <f t="shared" si="4"/>
        <v>2.9658159373379402</v>
      </c>
      <c r="U97">
        <f t="shared" si="5"/>
        <v>0.99999863017241108</v>
      </c>
      <c r="V97" s="61">
        <v>0.56635347425040272</v>
      </c>
    </row>
    <row r="98" spans="1:22" ht="23.25" x14ac:dyDescent="0.4">
      <c r="A98" s="31" t="s">
        <v>90</v>
      </c>
      <c r="B98" s="32" t="s">
        <v>21</v>
      </c>
      <c r="C98" s="33">
        <v>8.7899999999999991</v>
      </c>
      <c r="D98" s="33" t="s">
        <v>23</v>
      </c>
      <c r="E98" s="33">
        <v>18.68</v>
      </c>
      <c r="F98" s="33" t="s">
        <v>17</v>
      </c>
      <c r="G98" s="33">
        <v>27.47</v>
      </c>
      <c r="H98" s="33">
        <v>42.31</v>
      </c>
      <c r="I98" s="26" t="s">
        <v>18</v>
      </c>
      <c r="J98" s="33">
        <v>2.75</v>
      </c>
      <c r="K98" s="33">
        <v>27.47</v>
      </c>
      <c r="L98" s="27">
        <v>95.06</v>
      </c>
      <c r="M98" s="27">
        <v>0.1852</v>
      </c>
      <c r="N98" s="27">
        <v>-4.8520000000000003</v>
      </c>
      <c r="O98" s="27">
        <v>6.06</v>
      </c>
      <c r="P98" s="2">
        <v>76203.333333333299</v>
      </c>
      <c r="Q98" s="1">
        <v>4.88197396893292</v>
      </c>
      <c r="R98">
        <v>3.8753506961317101</v>
      </c>
      <c r="S98">
        <f t="shared" si="3"/>
        <v>1.0066232728012099</v>
      </c>
      <c r="T98">
        <f t="shared" si="4"/>
        <v>2.6540532728012098</v>
      </c>
      <c r="U98">
        <f t="shared" si="5"/>
        <v>0.89488009144223513</v>
      </c>
      <c r="V98" s="61">
        <v>0.64777841371009104</v>
      </c>
    </row>
    <row r="99" spans="1:22" ht="23.25" x14ac:dyDescent="0.4">
      <c r="A99" s="31" t="s">
        <v>91</v>
      </c>
      <c r="B99" s="32" t="s">
        <v>21</v>
      </c>
      <c r="C99" s="33">
        <v>11.63</v>
      </c>
      <c r="D99" s="33" t="s">
        <v>23</v>
      </c>
      <c r="E99" s="33">
        <v>23.26</v>
      </c>
      <c r="F99" s="33" t="s">
        <v>17</v>
      </c>
      <c r="G99" s="33">
        <v>17.440000000000001</v>
      </c>
      <c r="H99" s="33">
        <v>44.77</v>
      </c>
      <c r="I99" s="26" t="s">
        <v>18</v>
      </c>
      <c r="J99" s="33">
        <v>2.91</v>
      </c>
      <c r="K99" s="33">
        <v>34.880000000000003</v>
      </c>
      <c r="L99" s="27">
        <v>108.9</v>
      </c>
      <c r="M99" s="27">
        <v>0.2321</v>
      </c>
      <c r="N99" s="27">
        <v>-4.3390000000000004</v>
      </c>
      <c r="O99" s="27">
        <v>6.03</v>
      </c>
      <c r="P99" s="2">
        <v>66923.333333333299</v>
      </c>
      <c r="Q99" s="1">
        <v>4.8255775642721304</v>
      </c>
      <c r="R99">
        <v>3.8753506961317101</v>
      </c>
      <c r="S99">
        <f t="shared" si="3"/>
        <v>0.95022686814042023</v>
      </c>
      <c r="T99">
        <f t="shared" si="4"/>
        <v>2.5976568681404202</v>
      </c>
      <c r="U99">
        <f t="shared" si="5"/>
        <v>0.87586464051777257</v>
      </c>
      <c r="V99" s="61">
        <v>0.55598402022965998</v>
      </c>
    </row>
    <row r="100" spans="1:22" ht="23.25" x14ac:dyDescent="0.4">
      <c r="A100" s="28" t="s">
        <v>92</v>
      </c>
      <c r="B100" s="29" t="s">
        <v>21</v>
      </c>
      <c r="C100" s="30">
        <v>8</v>
      </c>
      <c r="D100" s="30" t="s">
        <v>23</v>
      </c>
      <c r="E100" s="30">
        <v>17</v>
      </c>
      <c r="F100" s="30" t="s">
        <v>17</v>
      </c>
      <c r="G100" s="30">
        <v>35</v>
      </c>
      <c r="H100" s="30">
        <v>38.5</v>
      </c>
      <c r="I100" s="30" t="s">
        <v>43</v>
      </c>
      <c r="J100" s="30">
        <v>1.5</v>
      </c>
      <c r="K100" s="30">
        <v>25</v>
      </c>
      <c r="L100" s="27">
        <v>178.6</v>
      </c>
      <c r="M100" s="27">
        <v>0.12609999999999999</v>
      </c>
      <c r="N100" s="27">
        <v>-2.665</v>
      </c>
      <c r="O100" s="27">
        <v>6.09</v>
      </c>
      <c r="P100" s="2">
        <v>19043.333333333299</v>
      </c>
      <c r="Q100" s="1">
        <v>4.2797429693408899</v>
      </c>
      <c r="R100">
        <v>3.8753506961317101</v>
      </c>
      <c r="S100">
        <f t="shared" si="3"/>
        <v>0.40439227320917981</v>
      </c>
      <c r="T100">
        <f t="shared" si="4"/>
        <v>2.0518222732091798</v>
      </c>
      <c r="U100">
        <f t="shared" si="5"/>
        <v>0.69182292695078584</v>
      </c>
      <c r="V100" s="61">
        <v>0.6196585712922098</v>
      </c>
    </row>
    <row r="101" spans="1:22" ht="23.25" x14ac:dyDescent="0.4">
      <c r="A101" s="34" t="s">
        <v>93</v>
      </c>
      <c r="B101" s="35" t="s">
        <v>23</v>
      </c>
      <c r="C101" s="36">
        <v>22.11</v>
      </c>
      <c r="D101" s="36" t="s">
        <v>94</v>
      </c>
      <c r="E101" s="36">
        <v>18.09</v>
      </c>
      <c r="F101" s="36" t="s">
        <v>17</v>
      </c>
      <c r="G101" s="36">
        <v>25.13</v>
      </c>
      <c r="H101" s="36">
        <v>32.159999999999997</v>
      </c>
      <c r="I101" s="26" t="s">
        <v>18</v>
      </c>
      <c r="J101" s="36">
        <v>2.5099999999999998</v>
      </c>
      <c r="K101" s="36">
        <v>40.200000000000003</v>
      </c>
      <c r="L101" s="27">
        <v>115.9</v>
      </c>
      <c r="M101" s="27">
        <v>0.25769999999999998</v>
      </c>
      <c r="N101" s="27">
        <v>-3.8849999999999998</v>
      </c>
      <c r="O101" s="27">
        <v>6.42</v>
      </c>
      <c r="P101" s="2">
        <v>9621</v>
      </c>
      <c r="Q101" s="1">
        <v>3.9832202146480999</v>
      </c>
      <c r="R101">
        <v>3.8753506961317101</v>
      </c>
      <c r="S101">
        <f t="shared" si="3"/>
        <v>0.10786951851638982</v>
      </c>
      <c r="T101">
        <f t="shared" si="4"/>
        <v>1.7552995185163898</v>
      </c>
      <c r="U101">
        <f t="shared" si="5"/>
        <v>0.59184290298008302</v>
      </c>
      <c r="V101" s="61">
        <v>0.57268901512861026</v>
      </c>
    </row>
    <row r="102" spans="1:22" ht="23.25" x14ac:dyDescent="0.4">
      <c r="A102" s="34" t="s">
        <v>95</v>
      </c>
      <c r="B102" s="35" t="s">
        <v>23</v>
      </c>
      <c r="C102" s="36">
        <v>18.09</v>
      </c>
      <c r="D102" s="36" t="s">
        <v>94</v>
      </c>
      <c r="E102" s="36">
        <v>22.11</v>
      </c>
      <c r="F102" s="36" t="s">
        <v>17</v>
      </c>
      <c r="G102" s="36">
        <v>25.13</v>
      </c>
      <c r="H102" s="36">
        <v>32.159999999999997</v>
      </c>
      <c r="I102" s="26" t="s">
        <v>18</v>
      </c>
      <c r="J102" s="36">
        <v>2.5099999999999998</v>
      </c>
      <c r="K102" s="36">
        <v>40.200000000000003</v>
      </c>
      <c r="L102" s="27">
        <v>111.6</v>
      </c>
      <c r="M102" s="27">
        <v>0.33710000000000001</v>
      </c>
      <c r="N102" s="27">
        <v>-6.7</v>
      </c>
      <c r="O102" s="27">
        <v>6.04</v>
      </c>
      <c r="P102" s="2">
        <v>6085.3333333333303</v>
      </c>
      <c r="Q102" s="1">
        <v>3.7842843723544801</v>
      </c>
      <c r="R102">
        <v>3.8753506961317101</v>
      </c>
      <c r="S102">
        <f t="shared" si="3"/>
        <v>-9.1066323777230007E-2</v>
      </c>
      <c r="T102">
        <f t="shared" si="4"/>
        <v>1.5563636762227699</v>
      </c>
      <c r="U102">
        <f t="shared" si="5"/>
        <v>0.5247667344015382</v>
      </c>
      <c r="V102" s="61">
        <v>0.58629159557713784</v>
      </c>
    </row>
    <row r="103" spans="1:22" ht="23.25" x14ac:dyDescent="0.4">
      <c r="A103" s="34" t="s">
        <v>96</v>
      </c>
      <c r="B103" s="35" t="s">
        <v>23</v>
      </c>
      <c r="C103" s="36">
        <v>20.83</v>
      </c>
      <c r="D103" s="36" t="s">
        <v>94</v>
      </c>
      <c r="E103" s="36">
        <v>20.83</v>
      </c>
      <c r="F103" s="36" t="s">
        <v>17</v>
      </c>
      <c r="G103" s="36">
        <v>15.62</v>
      </c>
      <c r="H103" s="36">
        <v>40.11</v>
      </c>
      <c r="I103" s="26" t="s">
        <v>18</v>
      </c>
      <c r="J103" s="36">
        <v>2.6</v>
      </c>
      <c r="K103" s="36">
        <v>41.67</v>
      </c>
      <c r="L103" s="27">
        <v>107.2</v>
      </c>
      <c r="M103" s="27">
        <v>0.38600000000000001</v>
      </c>
      <c r="N103" s="27">
        <v>-3.0510000000000002</v>
      </c>
      <c r="O103" s="27">
        <v>5.59</v>
      </c>
      <c r="P103" s="2">
        <v>6829.6666666666697</v>
      </c>
      <c r="Q103" s="1">
        <v>3.8343995077283899</v>
      </c>
      <c r="R103">
        <v>3.8753506961317101</v>
      </c>
      <c r="S103">
        <f t="shared" si="3"/>
        <v>-4.0951188403320238E-2</v>
      </c>
      <c r="T103">
        <f t="shared" si="4"/>
        <v>1.6064788115966797</v>
      </c>
      <c r="U103">
        <f t="shared" si="5"/>
        <v>0.54166429911345926</v>
      </c>
      <c r="V103" s="61">
        <v>0.52385897525107383</v>
      </c>
    </row>
    <row r="104" spans="1:22" ht="23.25" x14ac:dyDescent="0.4">
      <c r="A104" s="28" t="s">
        <v>97</v>
      </c>
      <c r="B104" s="29" t="s">
        <v>21</v>
      </c>
      <c r="C104" s="30">
        <v>8.89</v>
      </c>
      <c r="D104" s="30" t="s">
        <v>23</v>
      </c>
      <c r="E104" s="30">
        <v>18.89</v>
      </c>
      <c r="F104" s="30" t="s">
        <v>17</v>
      </c>
      <c r="G104" s="30">
        <v>27.78</v>
      </c>
      <c r="H104" s="30">
        <v>42.78</v>
      </c>
      <c r="I104" s="30" t="s">
        <v>43</v>
      </c>
      <c r="J104" s="30">
        <v>1.67</v>
      </c>
      <c r="K104" s="30">
        <v>27.78</v>
      </c>
      <c r="L104" s="27">
        <v>151.6</v>
      </c>
      <c r="M104" s="27">
        <v>0.1096</v>
      </c>
      <c r="N104" s="27">
        <v>-2.5569999999999999</v>
      </c>
      <c r="O104" s="27">
        <v>5.94</v>
      </c>
      <c r="P104" s="2">
        <v>15823.333333333299</v>
      </c>
      <c r="Q104" s="1">
        <v>4.1992979769987002</v>
      </c>
      <c r="R104">
        <v>3.8753506961317101</v>
      </c>
      <c r="S104">
        <f t="shared" si="3"/>
        <v>0.32394728086699009</v>
      </c>
      <c r="T104">
        <f t="shared" si="4"/>
        <v>1.97137728086699</v>
      </c>
      <c r="U104">
        <f t="shared" si="5"/>
        <v>0.66469889638177304</v>
      </c>
      <c r="V104" s="61">
        <v>0.59080763558202976</v>
      </c>
    </row>
    <row r="105" spans="1:22" ht="23.25" x14ac:dyDescent="0.4">
      <c r="A105" s="34" t="s">
        <v>98</v>
      </c>
      <c r="B105" s="35" t="s">
        <v>23</v>
      </c>
      <c r="C105" s="36">
        <v>25</v>
      </c>
      <c r="D105" s="36" t="s">
        <v>94</v>
      </c>
      <c r="E105" s="36">
        <v>25</v>
      </c>
      <c r="F105" s="36" t="s">
        <v>17</v>
      </c>
      <c r="G105" s="36">
        <v>10</v>
      </c>
      <c r="H105" s="36">
        <v>38.5</v>
      </c>
      <c r="I105" s="26" t="s">
        <v>18</v>
      </c>
      <c r="J105" s="36">
        <v>1.5</v>
      </c>
      <c r="K105" s="36">
        <v>50</v>
      </c>
      <c r="L105" s="27">
        <v>96.97</v>
      </c>
      <c r="M105" s="27">
        <v>0.20300000000000001</v>
      </c>
      <c r="N105" s="27">
        <v>-3.597</v>
      </c>
      <c r="O105" s="27">
        <v>6.18</v>
      </c>
      <c r="P105" s="2">
        <v>17182.666666666701</v>
      </c>
      <c r="Q105" s="1">
        <v>4.23509056512657</v>
      </c>
      <c r="R105">
        <v>3.8753506961317101</v>
      </c>
      <c r="S105">
        <f t="shared" si="3"/>
        <v>0.35973986899485988</v>
      </c>
      <c r="T105">
        <f t="shared" si="4"/>
        <v>2.0071698689948598</v>
      </c>
      <c r="U105">
        <f t="shared" si="5"/>
        <v>0.67676725795727988</v>
      </c>
      <c r="V105" s="61">
        <v>0.57254520940427067</v>
      </c>
    </row>
    <row r="106" spans="1:22" x14ac:dyDescent="0.4">
      <c r="A106" s="37" t="s">
        <v>99</v>
      </c>
      <c r="B106" s="38" t="s">
        <v>23</v>
      </c>
      <c r="C106" s="39">
        <v>41.67</v>
      </c>
      <c r="D106" s="39"/>
      <c r="E106" s="39"/>
      <c r="F106" s="39" t="s">
        <v>17</v>
      </c>
      <c r="G106" s="39">
        <v>15.62</v>
      </c>
      <c r="H106" s="39">
        <v>40.1</v>
      </c>
      <c r="I106" s="39" t="s">
        <v>38</v>
      </c>
      <c r="J106" s="39">
        <v>2.6</v>
      </c>
      <c r="K106" s="39">
        <v>41.67</v>
      </c>
      <c r="L106" s="27">
        <v>180.3</v>
      </c>
      <c r="M106" s="27">
        <v>0.13250000000000001</v>
      </c>
      <c r="N106" s="27">
        <v>-1.3069999999999999</v>
      </c>
      <c r="O106" s="27">
        <v>6.69</v>
      </c>
      <c r="P106" s="2">
        <v>41903.333333333299</v>
      </c>
      <c r="Q106" s="1">
        <v>4.6222485716701804</v>
      </c>
      <c r="R106">
        <v>3.8753506961317101</v>
      </c>
      <c r="S106">
        <f t="shared" si="3"/>
        <v>0.74689787553847031</v>
      </c>
      <c r="T106">
        <f t="shared" si="4"/>
        <v>2.3943278755384703</v>
      </c>
      <c r="U106">
        <f t="shared" si="5"/>
        <v>0.80730721201504818</v>
      </c>
      <c r="V106" s="61">
        <v>0.31129232191095474</v>
      </c>
    </row>
    <row r="107" spans="1:22" ht="23.25" x14ac:dyDescent="0.4">
      <c r="A107" s="37" t="s">
        <v>100</v>
      </c>
      <c r="B107" s="38" t="s">
        <v>23</v>
      </c>
      <c r="C107" s="39">
        <v>44</v>
      </c>
      <c r="D107" s="39"/>
      <c r="E107" s="39"/>
      <c r="F107" s="39" t="s">
        <v>17</v>
      </c>
      <c r="G107" s="39">
        <v>15</v>
      </c>
      <c r="H107" s="39">
        <v>38.5</v>
      </c>
      <c r="I107" s="39" t="s">
        <v>18</v>
      </c>
      <c r="J107" s="39">
        <v>2.5</v>
      </c>
      <c r="K107" s="39">
        <v>44</v>
      </c>
      <c r="L107" s="27">
        <v>95.45</v>
      </c>
      <c r="M107" s="27">
        <v>0.31669999999999998</v>
      </c>
      <c r="N107" s="27">
        <v>-5.6479999999999997</v>
      </c>
      <c r="O107" s="27">
        <v>6.45</v>
      </c>
      <c r="P107" s="2">
        <v>16720</v>
      </c>
      <c r="Q107" s="1">
        <v>4.2232362731029998</v>
      </c>
      <c r="R107">
        <v>3.8753506961317101</v>
      </c>
      <c r="S107">
        <f t="shared" si="3"/>
        <v>0.34788557697128963</v>
      </c>
      <c r="T107">
        <f t="shared" si="4"/>
        <v>1.9953155769712896</v>
      </c>
      <c r="U107">
        <f t="shared" si="5"/>
        <v>0.67277028847714615</v>
      </c>
      <c r="V107" s="61">
        <v>0.45842018052374434</v>
      </c>
    </row>
    <row r="108" spans="1:22" ht="23.25" x14ac:dyDescent="0.4">
      <c r="A108" s="37" t="s">
        <v>101</v>
      </c>
      <c r="B108" s="38" t="s">
        <v>23</v>
      </c>
      <c r="C108" s="39">
        <v>40.200000000000003</v>
      </c>
      <c r="D108" s="39"/>
      <c r="E108" s="39"/>
      <c r="F108" s="39" t="s">
        <v>17</v>
      </c>
      <c r="G108" s="39">
        <v>25.13</v>
      </c>
      <c r="H108" s="39">
        <v>32.159999999999997</v>
      </c>
      <c r="I108" s="39" t="s">
        <v>18</v>
      </c>
      <c r="J108" s="39">
        <v>2.5099999999999998</v>
      </c>
      <c r="K108" s="39">
        <v>40.200000000000003</v>
      </c>
      <c r="L108" s="27">
        <v>97.4</v>
      </c>
      <c r="M108" s="27">
        <v>0.25750000000000001</v>
      </c>
      <c r="N108" s="27">
        <v>-4.8689999999999998</v>
      </c>
      <c r="O108" s="27">
        <v>5.97</v>
      </c>
      <c r="P108" s="2">
        <v>8455.6666666666697</v>
      </c>
      <c r="Q108" s="1">
        <v>3.9271478541857601</v>
      </c>
      <c r="R108">
        <v>3.8753506961317101</v>
      </c>
      <c r="S108">
        <f t="shared" si="3"/>
        <v>5.1797158054049941E-2</v>
      </c>
      <c r="T108">
        <f t="shared" si="4"/>
        <v>1.6992271580540499</v>
      </c>
      <c r="U108">
        <f t="shared" si="5"/>
        <v>0.57293671161906312</v>
      </c>
      <c r="V108" s="61">
        <v>0.48812343029319405</v>
      </c>
    </row>
    <row r="109" spans="1:22" ht="23.25" x14ac:dyDescent="0.4">
      <c r="A109" s="28" t="s">
        <v>102</v>
      </c>
      <c r="B109" s="29" t="s">
        <v>23</v>
      </c>
      <c r="C109" s="30">
        <v>50</v>
      </c>
      <c r="D109" s="30"/>
      <c r="E109" s="30"/>
      <c r="F109" s="30" t="s">
        <v>17</v>
      </c>
      <c r="G109" s="30">
        <v>10</v>
      </c>
      <c r="H109" s="30">
        <v>38.5</v>
      </c>
      <c r="I109" s="30" t="s">
        <v>43</v>
      </c>
      <c r="J109" s="30">
        <v>1.5</v>
      </c>
      <c r="K109" s="30">
        <v>50</v>
      </c>
      <c r="L109" s="27">
        <v>117.6</v>
      </c>
      <c r="M109" s="27">
        <v>0.1225</v>
      </c>
      <c r="N109" s="27">
        <v>-5.4530000000000003</v>
      </c>
      <c r="O109" s="27">
        <v>6.38</v>
      </c>
      <c r="P109" s="2">
        <v>14790</v>
      </c>
      <c r="Q109" s="1">
        <v>4.1699681739968897</v>
      </c>
      <c r="R109">
        <v>3.8753506961317101</v>
      </c>
      <c r="S109">
        <f t="shared" si="3"/>
        <v>0.29461747786517956</v>
      </c>
      <c r="T109">
        <f t="shared" si="4"/>
        <v>1.9420474778651795</v>
      </c>
      <c r="U109">
        <f t="shared" si="5"/>
        <v>0.65480962359994188</v>
      </c>
      <c r="V109" s="61">
        <v>0.41831813527627126</v>
      </c>
    </row>
    <row r="110" spans="1:22" ht="23.25" x14ac:dyDescent="0.4">
      <c r="A110" s="40" t="s">
        <v>103</v>
      </c>
      <c r="B110" s="41" t="s">
        <v>36</v>
      </c>
      <c r="C110" s="2">
        <v>30.55</v>
      </c>
      <c r="D110" s="2" t="s">
        <v>23</v>
      </c>
      <c r="E110" s="2">
        <v>16.45</v>
      </c>
      <c r="F110" s="2" t="s">
        <v>17</v>
      </c>
      <c r="G110" s="2">
        <v>25</v>
      </c>
      <c r="H110" s="2">
        <v>25.5</v>
      </c>
      <c r="I110" s="26" t="s">
        <v>18</v>
      </c>
      <c r="J110" s="2">
        <v>2.5</v>
      </c>
      <c r="K110" s="2">
        <v>47</v>
      </c>
      <c r="L110" s="27">
        <v>152.6</v>
      </c>
      <c r="M110" s="27">
        <v>0.214</v>
      </c>
      <c r="N110" s="27">
        <v>-5.0010000000000003</v>
      </c>
      <c r="O110" s="27">
        <v>6.38</v>
      </c>
      <c r="P110" s="2">
        <v>54090</v>
      </c>
      <c r="Q110" s="1">
        <v>4.7331169814420599</v>
      </c>
      <c r="R110">
        <v>3.8753506961317101</v>
      </c>
      <c r="S110">
        <f t="shared" si="3"/>
        <v>0.85776628531034982</v>
      </c>
      <c r="T110">
        <f t="shared" si="4"/>
        <v>2.5051962853103498</v>
      </c>
      <c r="U110">
        <f t="shared" si="5"/>
        <v>0.84468925467841938</v>
      </c>
      <c r="V110" s="61">
        <v>0.51944279882849664</v>
      </c>
    </row>
    <row r="111" spans="1:22" ht="23.25" x14ac:dyDescent="0.4">
      <c r="A111" s="40" t="s">
        <v>104</v>
      </c>
      <c r="B111" s="41" t="s">
        <v>21</v>
      </c>
      <c r="C111" s="2">
        <v>10.67</v>
      </c>
      <c r="D111" s="2" t="s">
        <v>23</v>
      </c>
      <c r="E111" s="2">
        <v>19.82</v>
      </c>
      <c r="F111" s="2" t="s">
        <v>17</v>
      </c>
      <c r="G111" s="2">
        <v>35</v>
      </c>
      <c r="H111" s="2">
        <v>32</v>
      </c>
      <c r="I111" s="26" t="s">
        <v>18</v>
      </c>
      <c r="J111" s="2">
        <v>2.5</v>
      </c>
      <c r="K111" s="2">
        <v>30.5</v>
      </c>
      <c r="L111" s="27">
        <v>105.7</v>
      </c>
      <c r="M111" s="27">
        <v>0.24</v>
      </c>
      <c r="N111" s="27">
        <v>-3.7240000000000002</v>
      </c>
      <c r="O111" s="27">
        <v>6.79</v>
      </c>
      <c r="P111" s="2">
        <v>53696.666666666701</v>
      </c>
      <c r="Q111" s="1">
        <v>4.7299473267944396</v>
      </c>
      <c r="R111">
        <v>3.8753506961317101</v>
      </c>
      <c r="S111">
        <f t="shared" si="3"/>
        <v>0.85459663066272951</v>
      </c>
      <c r="T111">
        <f t="shared" si="4"/>
        <v>2.5020266306627295</v>
      </c>
      <c r="U111">
        <f t="shared" si="5"/>
        <v>0.84362052675574695</v>
      </c>
      <c r="V111" s="61">
        <v>0.66712182143017418</v>
      </c>
    </row>
    <row r="112" spans="1:22" ht="23.25" x14ac:dyDescent="0.4">
      <c r="A112" s="40" t="s">
        <v>105</v>
      </c>
      <c r="B112" s="41" t="s">
        <v>23</v>
      </c>
      <c r="C112" s="2">
        <v>20.75</v>
      </c>
      <c r="D112" s="2" t="s">
        <v>19</v>
      </c>
      <c r="E112" s="2">
        <v>20.75</v>
      </c>
      <c r="F112" s="2" t="s">
        <v>17</v>
      </c>
      <c r="G112" s="2">
        <v>25</v>
      </c>
      <c r="H112" s="2">
        <v>32</v>
      </c>
      <c r="I112" s="42" t="s">
        <v>43</v>
      </c>
      <c r="J112" s="2">
        <v>1.5</v>
      </c>
      <c r="K112" s="2">
        <v>41.5</v>
      </c>
      <c r="L112" s="27">
        <v>106.8</v>
      </c>
      <c r="M112" s="27">
        <v>0.1711</v>
      </c>
      <c r="N112" s="27">
        <v>-4.8620000000000001</v>
      </c>
      <c r="O112" s="27">
        <v>6.46</v>
      </c>
      <c r="P112" s="2">
        <v>23843.333333333299</v>
      </c>
      <c r="Q112" s="1">
        <v>4.3773669703247702</v>
      </c>
      <c r="R112">
        <v>3.8753506961317101</v>
      </c>
      <c r="S112">
        <f t="shared" si="3"/>
        <v>0.50201627419306005</v>
      </c>
      <c r="T112">
        <f t="shared" si="4"/>
        <v>2.14944627419306</v>
      </c>
      <c r="U112">
        <f t="shared" si="5"/>
        <v>0.72473928768201035</v>
      </c>
      <c r="V112" s="61">
        <v>0.67014556489557575</v>
      </c>
    </row>
    <row r="113" spans="1:31" ht="23.25" x14ac:dyDescent="0.4">
      <c r="A113" s="40" t="s">
        <v>106</v>
      </c>
      <c r="B113" s="41" t="s">
        <v>23</v>
      </c>
      <c r="C113" s="2">
        <v>11.38</v>
      </c>
      <c r="D113" s="2" t="s">
        <v>23</v>
      </c>
      <c r="E113" s="2">
        <v>21.12</v>
      </c>
      <c r="F113" s="2" t="s">
        <v>20</v>
      </c>
      <c r="G113" s="2">
        <v>25</v>
      </c>
      <c r="H113" s="2">
        <v>38.5</v>
      </c>
      <c r="I113" s="26" t="s">
        <v>18</v>
      </c>
      <c r="J113" s="2">
        <v>4</v>
      </c>
      <c r="K113" s="2">
        <v>32.5</v>
      </c>
      <c r="L113" s="27">
        <v>129.5</v>
      </c>
      <c r="M113" s="27">
        <v>0.52990000000000004</v>
      </c>
      <c r="N113" s="27">
        <v>-4.72</v>
      </c>
      <c r="O113" s="27">
        <v>6.18</v>
      </c>
      <c r="P113" s="2">
        <v>7464.3333333333303</v>
      </c>
      <c r="Q113" s="1">
        <v>3.8729910253786999</v>
      </c>
      <c r="R113">
        <v>3.8753506961317101</v>
      </c>
      <c r="S113">
        <f t="shared" si="3"/>
        <v>-2.3596707530102456E-3</v>
      </c>
      <c r="T113">
        <f t="shared" si="4"/>
        <v>1.6450703292469897</v>
      </c>
      <c r="U113">
        <f t="shared" si="5"/>
        <v>0.55467638941236819</v>
      </c>
    </row>
    <row r="114" spans="1:31" ht="23.25" x14ac:dyDescent="0.4">
      <c r="A114" s="43" t="s">
        <v>107</v>
      </c>
      <c r="B114" s="44" t="s">
        <v>23</v>
      </c>
      <c r="C114" s="45">
        <v>25</v>
      </c>
      <c r="D114" s="45" t="s">
        <v>23</v>
      </c>
      <c r="E114" s="45">
        <v>25</v>
      </c>
      <c r="F114" s="45" t="s">
        <v>20</v>
      </c>
      <c r="G114" s="45">
        <v>10</v>
      </c>
      <c r="H114" s="45">
        <v>38.5</v>
      </c>
      <c r="I114" s="46" t="s">
        <v>18</v>
      </c>
      <c r="J114" s="45">
        <v>1.5</v>
      </c>
      <c r="K114" s="45">
        <v>50</v>
      </c>
      <c r="L114" s="47">
        <v>105</v>
      </c>
      <c r="M114" s="47">
        <v>0.34549999999999997</v>
      </c>
      <c r="N114" s="47">
        <v>-3.456</v>
      </c>
      <c r="O114" s="47">
        <v>5.98</v>
      </c>
      <c r="P114" s="45">
        <v>7505</v>
      </c>
      <c r="Q114" s="1">
        <v>3.8753506965792899</v>
      </c>
      <c r="R114">
        <v>3.8753506961317101</v>
      </c>
      <c r="S114">
        <f t="shared" si="3"/>
        <v>4.4757975103948411E-10</v>
      </c>
      <c r="T114">
        <f t="shared" si="4"/>
        <v>1.6474300004475797</v>
      </c>
      <c r="U114">
        <f t="shared" si="5"/>
        <v>0.55547201126419665</v>
      </c>
    </row>
    <row r="115" spans="1:31" ht="23.25" x14ac:dyDescent="0.4">
      <c r="A115" s="40" t="s">
        <v>108</v>
      </c>
      <c r="B115" s="41" t="s">
        <v>22</v>
      </c>
      <c r="C115" s="2">
        <v>25</v>
      </c>
      <c r="D115" s="2" t="s">
        <v>22</v>
      </c>
      <c r="E115" s="2">
        <v>25</v>
      </c>
      <c r="F115" s="2" t="s">
        <v>20</v>
      </c>
      <c r="G115" s="2">
        <v>10</v>
      </c>
      <c r="H115" s="2">
        <v>38.5</v>
      </c>
      <c r="I115" s="26" t="s">
        <v>18</v>
      </c>
      <c r="J115" s="2">
        <v>1.5</v>
      </c>
      <c r="K115" s="2">
        <v>50</v>
      </c>
      <c r="L115" s="27">
        <v>212.3</v>
      </c>
      <c r="M115" s="27">
        <v>0.42949999999999999</v>
      </c>
      <c r="N115" s="27">
        <v>2.7629999999999999</v>
      </c>
      <c r="O115" s="27">
        <v>6.84</v>
      </c>
      <c r="P115" s="2">
        <v>13630</v>
      </c>
      <c r="Q115" s="1">
        <v>4.1344958558346701</v>
      </c>
      <c r="R115">
        <v>3.8753506961317101</v>
      </c>
      <c r="S115">
        <f t="shared" si="3"/>
        <v>0.25914515970295993</v>
      </c>
      <c r="T115">
        <f t="shared" si="4"/>
        <v>1.9065751597029599</v>
      </c>
      <c r="U115">
        <f t="shared" si="5"/>
        <v>0.64284924901138973</v>
      </c>
    </row>
    <row r="123" spans="1:31" x14ac:dyDescent="0.4"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</row>
    <row r="124" spans="1:31" x14ac:dyDescent="0.4"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</row>
    <row r="125" spans="1:31" x14ac:dyDescent="0.4"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</row>
    <row r="126" spans="1:31" x14ac:dyDescent="0.4"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</row>
    <row r="127" spans="1:31" x14ac:dyDescent="0.4"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</row>
    <row r="128" spans="1:31" x14ac:dyDescent="0.4"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</row>
    <row r="129" spans="19:31" x14ac:dyDescent="0.4"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</row>
    <row r="130" spans="19:31" x14ac:dyDescent="0.4"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3" spans="19:31" x14ac:dyDescent="0.4"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</row>
    <row r="134" spans="19:31" x14ac:dyDescent="0.4"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</row>
    <row r="135" spans="19:31" x14ac:dyDescent="0.4"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</row>
    <row r="136" spans="19:31" x14ac:dyDescent="0.4"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9:31" x14ac:dyDescent="0.4"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9:31" x14ac:dyDescent="0.4"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54" spans="11:11" x14ac:dyDescent="0.4">
      <c r="K154" s="2"/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ED82D-3B73-4B37-886D-4E433CCD6546}">
  <dimension ref="A1:O15"/>
  <sheetViews>
    <sheetView topLeftCell="G10" workbookViewId="0">
      <selection activeCell="I15" sqref="I15"/>
    </sheetView>
  </sheetViews>
  <sheetFormatPr defaultRowHeight="13.9" x14ac:dyDescent="0.4"/>
  <cols>
    <col min="4" max="4" width="146.796875" customWidth="1"/>
    <col min="5" max="5" width="14.33203125" customWidth="1"/>
    <col min="6" max="6" width="15.33203125" customWidth="1"/>
    <col min="7" max="7" width="18.9296875" customWidth="1"/>
    <col min="8" max="8" width="17.46484375" customWidth="1"/>
    <col min="9" max="9" width="28.1328125" customWidth="1"/>
  </cols>
  <sheetData>
    <row r="1" spans="1:15" ht="14.25" thickBot="1" x14ac:dyDescent="0.4">
      <c r="A1" s="49" t="s">
        <v>109</v>
      </c>
      <c r="B1" s="49" t="s">
        <v>110</v>
      </c>
      <c r="C1" s="50" t="s">
        <v>111</v>
      </c>
      <c r="D1" s="49"/>
      <c r="E1" s="57" t="s">
        <v>127</v>
      </c>
      <c r="F1" s="57" t="s">
        <v>128</v>
      </c>
      <c r="G1" s="58" t="s">
        <v>129</v>
      </c>
      <c r="H1" s="58" t="s">
        <v>130</v>
      </c>
      <c r="I1" s="58" t="s">
        <v>131</v>
      </c>
      <c r="J1" s="49"/>
      <c r="K1" s="49"/>
      <c r="L1" s="49"/>
      <c r="M1" s="49"/>
      <c r="N1" s="49"/>
      <c r="O1" s="49"/>
    </row>
    <row r="2" spans="1:15" ht="51.4" thickBot="1" x14ac:dyDescent="0.4">
      <c r="A2" s="49" t="s">
        <v>112</v>
      </c>
      <c r="B2" s="49" t="s">
        <v>113</v>
      </c>
      <c r="C2" s="50" t="s">
        <v>126</v>
      </c>
      <c r="D2" s="49"/>
      <c r="E2" s="58">
        <v>16</v>
      </c>
      <c r="F2" s="58">
        <v>642.1</v>
      </c>
      <c r="G2" s="58">
        <v>0</v>
      </c>
      <c r="H2" s="58">
        <v>3</v>
      </c>
      <c r="I2" s="58" t="s">
        <v>132</v>
      </c>
      <c r="J2" s="49"/>
      <c r="K2" s="49"/>
      <c r="L2" s="49"/>
      <c r="M2" s="49"/>
      <c r="N2" s="49"/>
      <c r="O2" s="49"/>
    </row>
    <row r="3" spans="1:15" ht="25.9" thickBot="1" x14ac:dyDescent="0.4">
      <c r="A3" s="49" t="s">
        <v>19</v>
      </c>
      <c r="B3" s="49" t="s">
        <v>113</v>
      </c>
      <c r="C3" s="50" t="s">
        <v>134</v>
      </c>
      <c r="D3" s="49"/>
      <c r="E3" s="58">
        <v>17.3</v>
      </c>
      <c r="F3" s="59" t="s">
        <v>133</v>
      </c>
      <c r="G3" s="49">
        <v>1</v>
      </c>
      <c r="H3" s="49">
        <v>6</v>
      </c>
      <c r="I3" s="58" t="s">
        <v>135</v>
      </c>
      <c r="J3" s="49"/>
      <c r="K3" s="49"/>
      <c r="L3" s="49"/>
      <c r="M3" s="49"/>
      <c r="N3" s="49"/>
      <c r="O3" s="49"/>
    </row>
    <row r="4" spans="1:15" ht="25.9" thickBot="1" x14ac:dyDescent="0.4">
      <c r="A4" s="49" t="s">
        <v>114</v>
      </c>
      <c r="B4" s="49" t="s">
        <v>113</v>
      </c>
      <c r="C4" s="50" t="s">
        <v>136</v>
      </c>
      <c r="D4" s="49"/>
      <c r="E4" s="49">
        <v>15.5</v>
      </c>
      <c r="F4" s="49">
        <v>710.2</v>
      </c>
      <c r="G4" s="49">
        <v>1</v>
      </c>
      <c r="H4" s="49">
        <v>6</v>
      </c>
      <c r="I4" s="58" t="s">
        <v>135</v>
      </c>
      <c r="J4" s="49"/>
      <c r="K4" s="49"/>
      <c r="L4" s="49"/>
      <c r="M4" s="49"/>
      <c r="N4" s="49"/>
      <c r="O4" s="49"/>
    </row>
    <row r="5" spans="1:15" ht="25.9" thickBot="1" x14ac:dyDescent="0.4">
      <c r="A5" s="49" t="s">
        <v>21</v>
      </c>
      <c r="B5" s="49" t="s">
        <v>113</v>
      </c>
      <c r="C5" s="50" t="s">
        <v>137</v>
      </c>
      <c r="D5" s="49"/>
      <c r="E5" s="49">
        <v>22.3</v>
      </c>
      <c r="F5" s="58">
        <v>1136.9000000000001</v>
      </c>
      <c r="G5" s="49">
        <v>5</v>
      </c>
      <c r="H5" s="49">
        <v>10</v>
      </c>
      <c r="I5" s="58" t="s">
        <v>138</v>
      </c>
      <c r="J5" s="49"/>
      <c r="K5" s="49"/>
      <c r="L5" s="49"/>
      <c r="M5" s="49"/>
      <c r="N5" s="49"/>
      <c r="O5" s="49"/>
    </row>
    <row r="6" spans="1:15" ht="25.9" thickBot="1" x14ac:dyDescent="0.4">
      <c r="A6" s="49" t="s">
        <v>115</v>
      </c>
      <c r="B6" s="49" t="s">
        <v>113</v>
      </c>
      <c r="C6" s="50" t="s">
        <v>139</v>
      </c>
      <c r="D6" s="49"/>
      <c r="E6" s="49">
        <v>18.7</v>
      </c>
      <c r="F6" s="49">
        <v>993.6</v>
      </c>
      <c r="G6" s="49">
        <v>6</v>
      </c>
      <c r="H6" s="49">
        <v>8</v>
      </c>
      <c r="I6" s="58" t="s">
        <v>140</v>
      </c>
      <c r="J6" s="49"/>
      <c r="K6" s="49"/>
      <c r="L6" s="49"/>
      <c r="M6" s="49"/>
      <c r="N6" s="49"/>
      <c r="O6" s="49"/>
    </row>
    <row r="7" spans="1:15" ht="25.9" thickBot="1" x14ac:dyDescent="0.4">
      <c r="A7" s="49" t="s">
        <v>22</v>
      </c>
      <c r="B7" s="49" t="s">
        <v>116</v>
      </c>
      <c r="C7" s="50" t="s">
        <v>141</v>
      </c>
      <c r="D7" s="49"/>
      <c r="E7" s="49">
        <v>15.1</v>
      </c>
      <c r="F7" s="49">
        <v>663.1</v>
      </c>
      <c r="G7" s="49">
        <v>0</v>
      </c>
      <c r="H7" s="49">
        <v>4</v>
      </c>
      <c r="I7" s="58" t="s">
        <v>142</v>
      </c>
      <c r="J7" s="49"/>
      <c r="K7" s="49"/>
      <c r="L7" s="49"/>
      <c r="M7" s="49"/>
      <c r="N7" s="49"/>
      <c r="O7" s="49"/>
    </row>
    <row r="8" spans="1:15" ht="25.9" thickBot="1" x14ac:dyDescent="0.4">
      <c r="A8" s="49" t="s">
        <v>16</v>
      </c>
      <c r="B8" s="49" t="s">
        <v>113</v>
      </c>
      <c r="C8" s="50" t="s">
        <v>143</v>
      </c>
      <c r="D8" s="49"/>
      <c r="E8" s="49">
        <v>15.1</v>
      </c>
      <c r="F8" s="49">
        <v>648.1</v>
      </c>
      <c r="G8" s="49">
        <v>0</v>
      </c>
      <c r="H8" s="49">
        <v>5</v>
      </c>
      <c r="I8" s="58" t="s">
        <v>144</v>
      </c>
      <c r="J8" s="49"/>
      <c r="K8" s="49"/>
      <c r="L8" s="49"/>
      <c r="M8" s="49"/>
      <c r="N8" s="49"/>
      <c r="O8" s="49"/>
    </row>
    <row r="9" spans="1:15" ht="38.65" thickBot="1" x14ac:dyDescent="0.4">
      <c r="A9" s="49" t="s">
        <v>20</v>
      </c>
      <c r="B9" s="49" t="s">
        <v>117</v>
      </c>
      <c r="C9" s="50" t="s">
        <v>145</v>
      </c>
      <c r="D9" s="49"/>
      <c r="E9" s="49">
        <v>15.6</v>
      </c>
      <c r="F9" s="49">
        <v>790.1</v>
      </c>
      <c r="G9" s="49">
        <v>0</v>
      </c>
      <c r="H9" s="49">
        <v>8</v>
      </c>
      <c r="I9" s="58" t="s">
        <v>146</v>
      </c>
      <c r="J9" s="49"/>
      <c r="K9" s="49"/>
      <c r="L9" s="49"/>
      <c r="M9" s="49"/>
      <c r="N9" s="49"/>
      <c r="O9" s="49"/>
    </row>
    <row r="10" spans="1:15" ht="38.65" thickBot="1" x14ac:dyDescent="0.4">
      <c r="A10" s="49" t="s">
        <v>17</v>
      </c>
      <c r="B10" s="49" t="s">
        <v>117</v>
      </c>
      <c r="C10" s="50" t="s">
        <v>147</v>
      </c>
      <c r="D10" s="49"/>
      <c r="E10" s="49">
        <v>10.6</v>
      </c>
      <c r="F10" s="49">
        <v>744</v>
      </c>
      <c r="G10" s="49">
        <v>2</v>
      </c>
      <c r="H10" s="49">
        <v>9</v>
      </c>
      <c r="I10" s="58" t="s">
        <v>148</v>
      </c>
      <c r="J10" s="49"/>
      <c r="K10" s="49"/>
      <c r="L10" s="49"/>
      <c r="M10" s="49"/>
      <c r="N10" s="49"/>
      <c r="O10" s="49"/>
    </row>
    <row r="11" spans="1:15" ht="25.9" thickBot="1" x14ac:dyDescent="0.4">
      <c r="A11" s="49" t="s">
        <v>118</v>
      </c>
      <c r="B11" s="49" t="s">
        <v>119</v>
      </c>
      <c r="C11" s="50" t="s">
        <v>149</v>
      </c>
      <c r="D11" s="49"/>
      <c r="E11" s="49">
        <v>8.6999999999999993</v>
      </c>
      <c r="F11" s="49">
        <v>386.7</v>
      </c>
      <c r="G11" s="49">
        <v>1</v>
      </c>
      <c r="H11" s="49">
        <v>1</v>
      </c>
      <c r="I11" s="58" t="s">
        <v>150</v>
      </c>
      <c r="J11" s="49"/>
      <c r="K11" s="49"/>
      <c r="L11" s="49"/>
      <c r="M11" s="49"/>
      <c r="N11" s="49"/>
      <c r="O11" s="49"/>
    </row>
    <row r="12" spans="1:15" ht="25.9" thickBot="1" x14ac:dyDescent="0.4">
      <c r="A12" s="49" t="s">
        <v>18</v>
      </c>
      <c r="B12" s="49" t="s">
        <v>120</v>
      </c>
      <c r="C12" s="50" t="s">
        <v>151</v>
      </c>
      <c r="D12" s="49"/>
      <c r="E12" s="49">
        <v>12.3</v>
      </c>
      <c r="F12" s="49">
        <v>570.9</v>
      </c>
      <c r="G12" s="49">
        <v>0</v>
      </c>
      <c r="H12" s="49">
        <v>6</v>
      </c>
      <c r="I12" s="58" t="s">
        <v>152</v>
      </c>
      <c r="J12" s="49"/>
      <c r="K12" s="49"/>
      <c r="L12" s="49"/>
      <c r="M12" s="49"/>
      <c r="N12" s="49"/>
      <c r="O12" s="49"/>
    </row>
    <row r="13" spans="1:15" ht="38.65" thickBot="1" x14ac:dyDescent="0.4">
      <c r="A13" s="49" t="s">
        <v>121</v>
      </c>
      <c r="B13" s="49" t="s">
        <v>120</v>
      </c>
      <c r="C13" s="50" t="s">
        <v>153</v>
      </c>
      <c r="D13" s="49"/>
      <c r="E13" s="49">
        <v>13.3</v>
      </c>
      <c r="F13" s="49">
        <v>539.9</v>
      </c>
      <c r="G13" s="49">
        <v>0</v>
      </c>
      <c r="H13" s="49">
        <v>3</v>
      </c>
      <c r="I13" s="58" t="s">
        <v>154</v>
      </c>
      <c r="J13" s="49"/>
      <c r="K13" s="49"/>
      <c r="L13" s="49"/>
      <c r="M13" s="49"/>
      <c r="N13" s="49"/>
      <c r="O13" s="49"/>
    </row>
    <row r="14" spans="1:15" ht="25.9" thickBot="1" x14ac:dyDescent="0.4">
      <c r="A14" s="49" t="s">
        <v>43</v>
      </c>
      <c r="B14" s="49" t="s">
        <v>122</v>
      </c>
      <c r="C14" s="50" t="s">
        <v>155</v>
      </c>
      <c r="D14" s="49"/>
      <c r="E14" s="49">
        <v>12.5</v>
      </c>
      <c r="F14" s="49">
        <v>1056.3</v>
      </c>
      <c r="G14" s="49">
        <v>6</v>
      </c>
      <c r="H14" s="49">
        <v>18</v>
      </c>
      <c r="I14" s="58" t="s">
        <v>156</v>
      </c>
      <c r="J14" s="49"/>
      <c r="K14" s="49"/>
      <c r="L14" s="49"/>
      <c r="M14" s="49"/>
      <c r="N14" s="49"/>
      <c r="O14" s="49"/>
    </row>
    <row r="15" spans="1:15" ht="14.25" thickBot="1" x14ac:dyDescent="0.4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Round1&amp;2&amp;3 (2)</vt:lpstr>
      <vt:lpstr>SMILES 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</dc:creator>
  <cp:lastModifiedBy>Yayi Zhao</cp:lastModifiedBy>
  <dcterms:created xsi:type="dcterms:W3CDTF">2026-04-10T19:59:34Z</dcterms:created>
  <dcterms:modified xsi:type="dcterms:W3CDTF">2026-07-08T08:38:05Z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819FF19CD0B044F0927DE2A0475DDC01_11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