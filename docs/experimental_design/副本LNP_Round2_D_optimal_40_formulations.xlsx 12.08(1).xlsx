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Joey\Desktop\"/>
    </mc:Choice>
  </mc:AlternateContent>
  <xr:revisionPtr revIDLastSave="0" documentId="13_ncr:1_{A3CCDA9D-2AAD-4F1E-B635-CEE8CA432A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40个优化配方" sheetId="1" r:id="rId1"/>
    <sheet name="统计汇总" sheetId="2" r:id="rId2"/>
    <sheet name="分子量信息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6" i="1" l="1"/>
  <c r="AA45" i="1"/>
  <c r="AA46" i="1"/>
  <c r="AA47" i="1"/>
  <c r="AA2" i="1"/>
  <c r="R2" i="1"/>
  <c r="O2" i="1"/>
  <c r="R44" i="1"/>
  <c r="AA44" i="1"/>
  <c r="AA42" i="1"/>
  <c r="AC42" i="1" s="1"/>
  <c r="AA43" i="1"/>
  <c r="X45" i="1"/>
  <c r="AC45" i="1" s="1"/>
  <c r="X46" i="1"/>
  <c r="X47" i="1"/>
  <c r="X43" i="1"/>
  <c r="X44" i="1"/>
  <c r="U44" i="1"/>
  <c r="O44" i="1"/>
  <c r="U43" i="1"/>
  <c r="R43" i="1"/>
  <c r="O43" i="1"/>
  <c r="R17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U18" i="1"/>
  <c r="O21" i="1"/>
  <c r="R41" i="1"/>
  <c r="R38" i="1"/>
  <c r="R39" i="1"/>
  <c r="R37" i="1"/>
  <c r="R34" i="1"/>
  <c r="R30" i="1"/>
  <c r="R27" i="1"/>
  <c r="R26" i="1"/>
  <c r="R22" i="1"/>
  <c r="R21" i="1"/>
  <c r="O32" i="1"/>
  <c r="O30" i="1"/>
  <c r="O28" i="1"/>
  <c r="O24" i="1"/>
  <c r="O25" i="1"/>
  <c r="O23" i="1"/>
  <c r="O18" i="1"/>
  <c r="O19" i="1"/>
  <c r="O20" i="1"/>
  <c r="O22" i="1"/>
  <c r="O26" i="1"/>
  <c r="O27" i="1"/>
  <c r="O29" i="1"/>
  <c r="O31" i="1"/>
  <c r="O33" i="1"/>
  <c r="O34" i="1"/>
  <c r="O35" i="1"/>
  <c r="O36" i="1"/>
  <c r="O37" i="1"/>
  <c r="O38" i="1"/>
  <c r="O39" i="1"/>
  <c r="O40" i="1"/>
  <c r="O41" i="1"/>
  <c r="O1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8" i="1"/>
  <c r="R19" i="1"/>
  <c r="R20" i="1"/>
  <c r="R23" i="1"/>
  <c r="R24" i="1"/>
  <c r="R25" i="1"/>
  <c r="R28" i="1"/>
  <c r="R29" i="1"/>
  <c r="R31" i="1"/>
  <c r="R32" i="1"/>
  <c r="R33" i="1"/>
  <c r="R35" i="1"/>
  <c r="R36" i="1"/>
  <c r="R40" i="1"/>
  <c r="O5" i="1"/>
  <c r="O6" i="1"/>
  <c r="O7" i="1"/>
  <c r="O8" i="1"/>
  <c r="O9" i="1"/>
  <c r="O10" i="1"/>
  <c r="O11" i="1"/>
  <c r="O12" i="1"/>
  <c r="O13" i="1"/>
  <c r="O14" i="1"/>
  <c r="O15" i="1"/>
  <c r="O16" i="1"/>
  <c r="O3" i="1"/>
  <c r="O4" i="1"/>
  <c r="X41" i="1"/>
  <c r="U41" i="1"/>
  <c r="X40" i="1"/>
  <c r="U40" i="1"/>
  <c r="X39" i="1"/>
  <c r="U39" i="1"/>
  <c r="X38" i="1"/>
  <c r="U38" i="1"/>
  <c r="X37" i="1"/>
  <c r="U37" i="1"/>
  <c r="X36" i="1"/>
  <c r="U36" i="1"/>
  <c r="X35" i="1"/>
  <c r="U35" i="1"/>
  <c r="X34" i="1"/>
  <c r="U34" i="1"/>
  <c r="X33" i="1"/>
  <c r="U33" i="1"/>
  <c r="X32" i="1"/>
  <c r="U32" i="1"/>
  <c r="X31" i="1"/>
  <c r="U31" i="1"/>
  <c r="X30" i="1"/>
  <c r="U30" i="1"/>
  <c r="X29" i="1"/>
  <c r="U29" i="1"/>
  <c r="X28" i="1"/>
  <c r="U28" i="1"/>
  <c r="X27" i="1"/>
  <c r="U27" i="1"/>
  <c r="X26" i="1"/>
  <c r="U26" i="1"/>
  <c r="X25" i="1"/>
  <c r="U25" i="1"/>
  <c r="X24" i="1"/>
  <c r="U24" i="1"/>
  <c r="X23" i="1"/>
  <c r="U23" i="1"/>
  <c r="X22" i="1"/>
  <c r="U22" i="1"/>
  <c r="X21" i="1"/>
  <c r="U21" i="1"/>
  <c r="X20" i="1"/>
  <c r="U20" i="1"/>
  <c r="X19" i="1"/>
  <c r="U19" i="1"/>
  <c r="X18" i="1"/>
  <c r="X17" i="1"/>
  <c r="U17" i="1"/>
  <c r="X16" i="1"/>
  <c r="U16" i="1"/>
  <c r="X15" i="1"/>
  <c r="U15" i="1"/>
  <c r="X14" i="1"/>
  <c r="U14" i="1"/>
  <c r="X13" i="1"/>
  <c r="U13" i="1"/>
  <c r="X12" i="1"/>
  <c r="U12" i="1"/>
  <c r="X11" i="1"/>
  <c r="U11" i="1"/>
  <c r="X10" i="1"/>
  <c r="U10" i="1"/>
  <c r="X9" i="1"/>
  <c r="U9" i="1"/>
  <c r="X8" i="1"/>
  <c r="U8" i="1"/>
  <c r="X7" i="1"/>
  <c r="U7" i="1"/>
  <c r="X6" i="1"/>
  <c r="U6" i="1"/>
  <c r="X5" i="1"/>
  <c r="U5" i="1"/>
  <c r="X4" i="1"/>
  <c r="U4" i="1"/>
  <c r="X3" i="1"/>
  <c r="U3" i="1"/>
  <c r="X2" i="1"/>
  <c r="U2" i="1"/>
  <c r="AC2" i="1" l="1"/>
  <c r="AC47" i="1"/>
  <c r="AC46" i="1"/>
  <c r="AC43" i="1"/>
  <c r="AC44" i="1"/>
  <c r="AC36" i="1"/>
  <c r="AC24" i="1"/>
  <c r="AC23" i="1"/>
  <c r="AC34" i="1"/>
  <c r="AC32" i="1"/>
  <c r="AC41" i="1"/>
  <c r="AC27" i="1"/>
  <c r="AC30" i="1"/>
  <c r="AC21" i="1"/>
  <c r="AC40" i="1"/>
  <c r="AC38" i="1"/>
  <c r="AC31" i="1"/>
  <c r="AC37" i="1"/>
  <c r="AC28" i="1"/>
  <c r="AC18" i="1"/>
  <c r="AC19" i="1"/>
  <c r="AC20" i="1"/>
  <c r="AC26" i="1"/>
  <c r="AC35" i="1"/>
  <c r="AC29" i="1"/>
  <c r="AC22" i="1"/>
  <c r="AC39" i="1"/>
  <c r="AC17" i="1"/>
  <c r="AC25" i="1"/>
  <c r="AC33" i="1"/>
</calcChain>
</file>

<file path=xl/sharedStrings.xml><?xml version="1.0" encoding="utf-8"?>
<sst xmlns="http://schemas.openxmlformats.org/spreadsheetml/2006/main" count="532" uniqueCount="101">
  <si>
    <t>配方编号</t>
  </si>
  <si>
    <t>离子化脂质1</t>
  </si>
  <si>
    <t>IL1摩尔百分比</t>
  </si>
  <si>
    <t>离子化脂质2</t>
  </si>
  <si>
    <t>IL2摩尔百分比</t>
  </si>
  <si>
    <t>脂质比例</t>
  </si>
  <si>
    <t>磷脂</t>
  </si>
  <si>
    <t>磷脂摩尔百分比</t>
  </si>
  <si>
    <t>胆固醇摩尔百分比</t>
  </si>
  <si>
    <t>PEG类型</t>
  </si>
  <si>
    <t>PEG摩尔百分比</t>
  </si>
  <si>
    <t>离子化脂质总摩尔比</t>
  </si>
  <si>
    <t>IL1浓度(mg/ml)</t>
  </si>
  <si>
    <t>IL2浓度(mg/ml)</t>
  </si>
  <si>
    <t>磷脂浓度(mg/ml)</t>
  </si>
  <si>
    <t>共0.4ml 加10 mg/ml 磷脂 (ul)</t>
  </si>
  <si>
    <t>胆固醇浓度(mg/ml)</t>
  </si>
  <si>
    <t>共0.4ml 加12.6mg/ml CLT ul)</t>
  </si>
  <si>
    <t>PEG浓度(mg/ml)</t>
  </si>
  <si>
    <t>总脂质浓度(mg/ml)</t>
  </si>
  <si>
    <t>R2-01</t>
  </si>
  <si>
    <t>C12-200</t>
  </si>
  <si>
    <t>CCK12</t>
  </si>
  <si>
    <t>80:20</t>
  </si>
  <si>
    <t>DSPC</t>
  </si>
  <si>
    <t>DMG-PEG2000</t>
  </si>
  <si>
    <t>R2-02</t>
  </si>
  <si>
    <t>DOTAP</t>
  </si>
  <si>
    <t>C14-PEG</t>
  </si>
  <si>
    <t>R2-03</t>
  </si>
  <si>
    <t>SM102</t>
  </si>
  <si>
    <t>35:65</t>
  </si>
  <si>
    <t>R2-04</t>
  </si>
  <si>
    <t>65:35</t>
  </si>
  <si>
    <t>R2-05</t>
  </si>
  <si>
    <t>DOPE</t>
  </si>
  <si>
    <t>R2-06</t>
  </si>
  <si>
    <t>PEG-Mannose</t>
  </si>
  <si>
    <t>R2-07</t>
  </si>
  <si>
    <t>R2-08</t>
  </si>
  <si>
    <t>50:50</t>
  </si>
  <si>
    <t>R2-09</t>
  </si>
  <si>
    <t>R2-10</t>
  </si>
  <si>
    <t>R2-11</t>
  </si>
  <si>
    <t>R2-12</t>
  </si>
  <si>
    <t>R2-13</t>
  </si>
  <si>
    <t>R2-14</t>
  </si>
  <si>
    <t>R2-15</t>
  </si>
  <si>
    <t>R2-16</t>
  </si>
  <si>
    <t>R2-17</t>
  </si>
  <si>
    <t>R2-18</t>
  </si>
  <si>
    <t>R2-19</t>
  </si>
  <si>
    <t>R2-20</t>
  </si>
  <si>
    <t>R2-21</t>
  </si>
  <si>
    <t>R2-22</t>
  </si>
  <si>
    <t>ALC-0315</t>
  </si>
  <si>
    <t>R2-23</t>
  </si>
  <si>
    <t>20:80</t>
  </si>
  <si>
    <t>R2-24</t>
  </si>
  <si>
    <t>R2-25</t>
  </si>
  <si>
    <t>R2-26</t>
  </si>
  <si>
    <t>R2-27</t>
  </si>
  <si>
    <t>R2-28</t>
  </si>
  <si>
    <t>R2-29</t>
  </si>
  <si>
    <t>R2-30</t>
  </si>
  <si>
    <t>R2-31</t>
  </si>
  <si>
    <t>R2-32</t>
  </si>
  <si>
    <t>R2-33</t>
  </si>
  <si>
    <t>R2-34</t>
  </si>
  <si>
    <t>R2-35</t>
  </si>
  <si>
    <t>R2-36</t>
  </si>
  <si>
    <t>R2-37</t>
  </si>
  <si>
    <t>R2-38</t>
  </si>
  <si>
    <t>R2-39</t>
  </si>
  <si>
    <t>R2-40</t>
  </si>
  <si>
    <t>参数</t>
  </si>
  <si>
    <t>数值</t>
  </si>
  <si>
    <t>脂质组合数</t>
  </si>
  <si>
    <t>脂质比例数</t>
  </si>
  <si>
    <t>胆固醇浓度数</t>
  </si>
  <si>
    <t>磷脂类型数</t>
  </si>
  <si>
    <t>磷脂浓度数</t>
  </si>
  <si>
    <t>PEG类型数</t>
  </si>
  <si>
    <t>PEG浓度数</t>
  </si>
  <si>
    <t>总配方数</t>
  </si>
  <si>
    <t>成分</t>
  </si>
  <si>
    <t>分子量</t>
  </si>
  <si>
    <t>Cholesterol</t>
  </si>
  <si>
    <t>EtOH 体积</t>
  </si>
  <si>
    <t>共0.4ml 加5mg/ml PEG ul)</t>
  </si>
  <si>
    <t>共0.4ml 取 ul</t>
  </si>
  <si>
    <t>共0.4ml 取ul</t>
  </si>
  <si>
    <t>Calibration</t>
  </si>
  <si>
    <t>MC3</t>
  </si>
  <si>
    <t>选择顺序</t>
  </si>
  <si>
    <t>0.4ml(取多少mg)</t>
  </si>
  <si>
    <t>取多少ul</t>
  </si>
  <si>
    <t>0.4ml</t>
  </si>
  <si>
    <t>取10mg/ml的母液 ？ul</t>
  </si>
  <si>
    <t>取20mg/ml的母液 ？ul</t>
  </si>
  <si>
    <t>加酒精的量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</si>
</sst>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8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1" fillId="0" borderId="2" xfId="0" applyFont="1" applyFill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5" fillId="0" borderId="3" xfId="0" applyFont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5" borderId="0" xfId="0" applyFill="1"/>
    <xf numFmtId="0" fontId="4" fillId="5" borderId="0" xfId="0" applyFont="1" applyFill="1"/>
    <xf numFmtId="0" fontId="0" fillId="6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6"/>
  <sheetViews>
    <sheetView tabSelected="1" zoomScale="79" zoomScaleNormal="90" workbookViewId="0">
      <selection activeCell="Y1" sqref="Y1:Y47"/>
    </sheetView>
  </sheetViews>
  <sheetFormatPr defaultColWidth="9" defaultRowHeight="14" x14ac:dyDescent="0.25"/>
  <cols>
    <col min="1" max="1" width="18.36328125" customWidth="1"/>
    <col min="2" max="2" width="19.81640625" customWidth="1"/>
    <col min="3" max="3" width="17.54296875" customWidth="1"/>
    <col min="4" max="4" width="17.81640625" customWidth="1"/>
    <col min="5" max="5" width="22.1796875" customWidth="1"/>
    <col min="6" max="6" width="18.7265625" customWidth="1"/>
    <col min="7" max="7" width="13" customWidth="1"/>
    <col min="8" max="8" width="14.7265625" customWidth="1"/>
    <col min="9" max="9" width="19.36328125" customWidth="1"/>
    <col min="10" max="10" width="19.08984375" customWidth="1"/>
    <col min="11" max="11" width="21.08984375" customWidth="1"/>
    <col min="12" max="12" width="22.1796875" customWidth="1"/>
    <col min="13" max="13" width="19.7265625" customWidth="1"/>
    <col min="14" max="14" width="21.08984375" hidden="1" customWidth="1"/>
    <col min="15" max="15" width="37" customWidth="1"/>
    <col min="16" max="16" width="23.7265625" customWidth="1"/>
    <col min="17" max="17" width="22.54296875" customWidth="1"/>
    <col min="18" max="18" width="14.7265625" hidden="1" customWidth="1"/>
    <col min="19" max="19" width="23.7265625" customWidth="1"/>
    <col min="20" max="20" width="24" customWidth="1"/>
    <col min="21" max="21" width="18.90625" customWidth="1"/>
    <col min="22" max="22" width="35.36328125" hidden="1" customWidth="1"/>
    <col min="23" max="23" width="32.90625" customWidth="1"/>
    <col min="24" max="24" width="25.08984375" customWidth="1"/>
    <col min="25" max="25" width="32.81640625" customWidth="1"/>
    <col min="26" max="26" width="33.6328125" customWidth="1"/>
    <col min="27" max="27" width="32.81640625" customWidth="1"/>
    <col min="28" max="28" width="29.7265625" customWidth="1"/>
    <col min="29" max="29" width="20.6328125" hidden="1" customWidth="1"/>
    <col min="30" max="30" width="20.7265625" customWidth="1"/>
    <col min="31" max="31" width="31.81640625" customWidth="1"/>
    <col min="32" max="32" width="12.26953125" customWidth="1"/>
    <col min="33" max="33" width="15.90625" customWidth="1"/>
    <col min="34" max="34" width="19.5429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</v>
      </c>
      <c r="N1" s="1" t="s">
        <v>12</v>
      </c>
      <c r="O1" s="2" t="s">
        <v>90</v>
      </c>
      <c r="P1" s="1" t="s">
        <v>3</v>
      </c>
      <c r="Q1" s="1" t="s">
        <v>13</v>
      </c>
      <c r="R1" s="2" t="s">
        <v>91</v>
      </c>
      <c r="S1" s="1" t="s">
        <v>6</v>
      </c>
      <c r="T1" s="1" t="s">
        <v>14</v>
      </c>
      <c r="U1" s="2" t="s">
        <v>15</v>
      </c>
      <c r="V1" s="2"/>
      <c r="W1" s="1" t="s">
        <v>16</v>
      </c>
      <c r="X1" s="2" t="s">
        <v>17</v>
      </c>
      <c r="Y1" s="1" t="s">
        <v>9</v>
      </c>
      <c r="Z1" s="1" t="s">
        <v>18</v>
      </c>
      <c r="AA1" s="2" t="s">
        <v>89</v>
      </c>
      <c r="AB1" s="1" t="s">
        <v>19</v>
      </c>
      <c r="AC1" s="5" t="s">
        <v>88</v>
      </c>
      <c r="AD1" s="2"/>
    </row>
    <row r="2" spans="1:30" x14ac:dyDescent="0.25">
      <c r="A2" t="s">
        <v>20</v>
      </c>
      <c r="B2" t="s">
        <v>21</v>
      </c>
      <c r="C2">
        <v>46.4</v>
      </c>
      <c r="D2" t="s">
        <v>22</v>
      </c>
      <c r="E2">
        <v>11.6</v>
      </c>
      <c r="F2" t="s">
        <v>23</v>
      </c>
      <c r="G2" t="s">
        <v>24</v>
      </c>
      <c r="H2">
        <v>15</v>
      </c>
      <c r="I2">
        <v>25.5</v>
      </c>
      <c r="J2" t="s">
        <v>25</v>
      </c>
      <c r="K2">
        <v>1.5</v>
      </c>
      <c r="L2">
        <v>58</v>
      </c>
      <c r="M2" t="s">
        <v>21</v>
      </c>
      <c r="N2">
        <v>4.8129999999999997</v>
      </c>
      <c r="O2">
        <f>N2*0.4*10</f>
        <v>19.251999999999999</v>
      </c>
      <c r="P2" t="s">
        <v>22</v>
      </c>
      <c r="Q2">
        <v>0.94799999999999995</v>
      </c>
      <c r="R2">
        <f>Q2*0.4*10</f>
        <v>3.7919999999999998</v>
      </c>
      <c r="S2" t="s">
        <v>24</v>
      </c>
      <c r="T2">
        <v>1.042</v>
      </c>
      <c r="U2">
        <f>(T2*0.4)/10*1000</f>
        <v>41.680000000000007</v>
      </c>
      <c r="W2">
        <v>0.86699999999999999</v>
      </c>
      <c r="X2">
        <f>(W2*0.4)/12.6*1000</f>
        <v>27.523809523809522</v>
      </c>
      <c r="Y2" t="s">
        <v>25</v>
      </c>
      <c r="Z2">
        <v>0.33100000000000002</v>
      </c>
      <c r="AA2" s="14">
        <f t="shared" ref="AA2" si="0">Z2*0.4*1000/5</f>
        <v>26.48</v>
      </c>
      <c r="AB2">
        <v>8</v>
      </c>
      <c r="AC2" s="14">
        <f>400-O2-R2-U2-X2-AA2</f>
        <v>281.27219047619047</v>
      </c>
      <c r="AD2" s="16">
        <v>1</v>
      </c>
    </row>
    <row r="3" spans="1:30" hidden="1" x14ac:dyDescent="0.25">
      <c r="A3" t="s">
        <v>26</v>
      </c>
      <c r="B3" t="s">
        <v>21</v>
      </c>
      <c r="C3">
        <v>49.4</v>
      </c>
      <c r="D3" t="s">
        <v>27</v>
      </c>
      <c r="E3">
        <v>12.35</v>
      </c>
      <c r="F3" t="s">
        <v>23</v>
      </c>
      <c r="G3" t="s">
        <v>24</v>
      </c>
      <c r="H3">
        <v>15</v>
      </c>
      <c r="I3">
        <v>19.25</v>
      </c>
      <c r="J3" t="s">
        <v>28</v>
      </c>
      <c r="K3">
        <v>4</v>
      </c>
      <c r="L3">
        <v>61.75</v>
      </c>
      <c r="M3" t="s">
        <v>21</v>
      </c>
      <c r="N3">
        <v>4.8070000000000004</v>
      </c>
      <c r="O3">
        <f t="shared" ref="O3:O16" si="1">N3*0.4</f>
        <v>1.9228000000000003</v>
      </c>
      <c r="P3" t="s">
        <v>27</v>
      </c>
      <c r="Q3">
        <v>0.71099999999999997</v>
      </c>
      <c r="R3">
        <f t="shared" ref="R3:R40" si="2">Q3*0.4</f>
        <v>0.28439999999999999</v>
      </c>
      <c r="S3" t="s">
        <v>24</v>
      </c>
      <c r="T3">
        <v>0.97699999999999998</v>
      </c>
      <c r="U3">
        <f t="shared" ref="U3:U41" si="3">(T3*0.4)/10*1000</f>
        <v>39.080000000000005</v>
      </c>
      <c r="W3">
        <v>0.61399999999999999</v>
      </c>
      <c r="X3">
        <f>(W3*0.4)/12.6*1000</f>
        <v>19.492063492063494</v>
      </c>
      <c r="Y3" t="s">
        <v>28</v>
      </c>
      <c r="Z3">
        <v>0.89100000000000001</v>
      </c>
      <c r="AB3">
        <v>8</v>
      </c>
      <c r="AD3" s="16"/>
    </row>
    <row r="4" spans="1:30" hidden="1" x14ac:dyDescent="0.25">
      <c r="A4" t="s">
        <v>29</v>
      </c>
      <c r="B4" t="s">
        <v>30</v>
      </c>
      <c r="C4">
        <v>11.38</v>
      </c>
      <c r="D4" t="s">
        <v>30</v>
      </c>
      <c r="E4">
        <v>21.12</v>
      </c>
      <c r="F4" t="s">
        <v>31</v>
      </c>
      <c r="G4" t="s">
        <v>24</v>
      </c>
      <c r="H4">
        <v>25</v>
      </c>
      <c r="I4">
        <v>38.5</v>
      </c>
      <c r="J4" t="s">
        <v>25</v>
      </c>
      <c r="K4">
        <v>4</v>
      </c>
      <c r="L4">
        <v>32.5</v>
      </c>
      <c r="M4" t="s">
        <v>30</v>
      </c>
      <c r="N4">
        <v>1.131</v>
      </c>
      <c r="O4">
        <f t="shared" si="1"/>
        <v>0.45240000000000002</v>
      </c>
      <c r="P4" t="s">
        <v>30</v>
      </c>
      <c r="Q4">
        <v>2.0990000000000002</v>
      </c>
      <c r="R4">
        <f t="shared" si="2"/>
        <v>0.83960000000000012</v>
      </c>
      <c r="S4" t="s">
        <v>24</v>
      </c>
      <c r="T4">
        <v>2.109</v>
      </c>
      <c r="U4">
        <f t="shared" si="3"/>
        <v>84.36</v>
      </c>
      <c r="W4">
        <v>1.589</v>
      </c>
      <c r="X4">
        <f>(W4*0.4)/12.6*1000</f>
        <v>50.44444444444445</v>
      </c>
      <c r="Y4" t="s">
        <v>25</v>
      </c>
      <c r="Z4">
        <v>1.0720000000000001</v>
      </c>
      <c r="AB4">
        <v>8</v>
      </c>
      <c r="AD4" s="16"/>
    </row>
    <row r="5" spans="1:30" hidden="1" x14ac:dyDescent="0.25">
      <c r="A5" t="s">
        <v>32</v>
      </c>
      <c r="B5" t="s">
        <v>21</v>
      </c>
      <c r="C5">
        <v>37.700000000000003</v>
      </c>
      <c r="D5" t="s">
        <v>30</v>
      </c>
      <c r="E5">
        <v>20.3</v>
      </c>
      <c r="F5" t="s">
        <v>33</v>
      </c>
      <c r="G5" t="s">
        <v>24</v>
      </c>
      <c r="H5">
        <v>15</v>
      </c>
      <c r="I5">
        <v>25.5</v>
      </c>
      <c r="J5" t="s">
        <v>28</v>
      </c>
      <c r="K5">
        <v>1.5</v>
      </c>
      <c r="L5">
        <v>58</v>
      </c>
      <c r="M5" t="s">
        <v>21</v>
      </c>
      <c r="N5">
        <v>3.992</v>
      </c>
      <c r="O5">
        <f t="shared" si="1"/>
        <v>1.5968</v>
      </c>
      <c r="P5" t="s">
        <v>30</v>
      </c>
      <c r="Q5">
        <v>1.696</v>
      </c>
      <c r="R5">
        <f t="shared" si="2"/>
        <v>0.6784</v>
      </c>
      <c r="S5" t="s">
        <v>24</v>
      </c>
      <c r="T5">
        <v>1.0640000000000001</v>
      </c>
      <c r="U5">
        <f t="shared" si="3"/>
        <v>42.56</v>
      </c>
      <c r="W5">
        <v>0.88500000000000001</v>
      </c>
      <c r="X5">
        <f>(W5*0.4)/12.6*1000</f>
        <v>28.095238095238098</v>
      </c>
      <c r="Y5" t="s">
        <v>28</v>
      </c>
      <c r="Z5">
        <v>0.36299999999999999</v>
      </c>
      <c r="AB5">
        <v>8</v>
      </c>
      <c r="AD5" s="16"/>
    </row>
    <row r="6" spans="1:30" hidden="1" x14ac:dyDescent="0.25">
      <c r="A6" t="s">
        <v>34</v>
      </c>
      <c r="B6" t="s">
        <v>30</v>
      </c>
      <c r="C6">
        <v>7.7</v>
      </c>
      <c r="D6" t="s">
        <v>27</v>
      </c>
      <c r="E6">
        <v>14.3</v>
      </c>
      <c r="F6" t="s">
        <v>31</v>
      </c>
      <c r="G6" t="s">
        <v>35</v>
      </c>
      <c r="H6">
        <v>50</v>
      </c>
      <c r="I6">
        <v>25.5</v>
      </c>
      <c r="J6" t="s">
        <v>25</v>
      </c>
      <c r="K6">
        <v>2.5</v>
      </c>
      <c r="L6">
        <v>22</v>
      </c>
      <c r="M6" t="s">
        <v>30</v>
      </c>
      <c r="N6">
        <v>0.81299999999999994</v>
      </c>
      <c r="O6">
        <f t="shared" si="1"/>
        <v>0.32519999999999999</v>
      </c>
      <c r="P6" t="s">
        <v>27</v>
      </c>
      <c r="Q6">
        <v>1.1339999999999999</v>
      </c>
      <c r="R6">
        <f t="shared" si="2"/>
        <v>0.4536</v>
      </c>
      <c r="S6" t="s">
        <v>35</v>
      </c>
      <c r="T6">
        <v>4.2220000000000004</v>
      </c>
      <c r="U6">
        <f t="shared" si="3"/>
        <v>168.88000000000002</v>
      </c>
      <c r="W6">
        <v>1.119</v>
      </c>
      <c r="X6">
        <f>(W6*0.4)/12.6*1000</f>
        <v>35.523809523809526</v>
      </c>
      <c r="Y6" t="s">
        <v>25</v>
      </c>
      <c r="Z6">
        <v>0.71199999999999997</v>
      </c>
      <c r="AB6">
        <v>8</v>
      </c>
      <c r="AD6" s="16"/>
    </row>
    <row r="7" spans="1:30" hidden="1" x14ac:dyDescent="0.25">
      <c r="A7" t="s">
        <v>36</v>
      </c>
      <c r="B7" t="s">
        <v>21</v>
      </c>
      <c r="C7">
        <v>12.95</v>
      </c>
      <c r="D7" t="s">
        <v>27</v>
      </c>
      <c r="E7">
        <v>24.05</v>
      </c>
      <c r="F7" t="s">
        <v>31</v>
      </c>
      <c r="G7" t="s">
        <v>35</v>
      </c>
      <c r="H7">
        <v>35</v>
      </c>
      <c r="I7">
        <v>25.5</v>
      </c>
      <c r="J7" t="s">
        <v>37</v>
      </c>
      <c r="K7">
        <v>2.5</v>
      </c>
      <c r="L7">
        <v>37</v>
      </c>
      <c r="M7" t="s">
        <v>21</v>
      </c>
      <c r="N7">
        <v>1.63</v>
      </c>
      <c r="O7">
        <f t="shared" si="1"/>
        <v>0.65200000000000002</v>
      </c>
      <c r="P7" t="s">
        <v>27</v>
      </c>
      <c r="Q7">
        <v>1.792</v>
      </c>
      <c r="R7">
        <f t="shared" si="2"/>
        <v>0.7168000000000001</v>
      </c>
      <c r="S7" t="s">
        <v>35</v>
      </c>
      <c r="T7">
        <v>2.778</v>
      </c>
      <c r="U7">
        <f t="shared" si="3"/>
        <v>111.11999999999999</v>
      </c>
      <c r="W7">
        <v>1.052</v>
      </c>
      <c r="X7">
        <f t="shared" ref="X7:X41" si="4">(W7*0.4)/12.6*1000</f>
        <v>33.396825396825406</v>
      </c>
      <c r="Y7" t="s">
        <v>37</v>
      </c>
      <c r="Z7">
        <v>0.747</v>
      </c>
      <c r="AB7">
        <v>8</v>
      </c>
      <c r="AD7" s="16"/>
    </row>
    <row r="8" spans="1:30" hidden="1" x14ac:dyDescent="0.25">
      <c r="A8" t="s">
        <v>38</v>
      </c>
      <c r="B8" t="s">
        <v>21</v>
      </c>
      <c r="C8">
        <v>43.55</v>
      </c>
      <c r="D8" t="s">
        <v>27</v>
      </c>
      <c r="E8">
        <v>23.45</v>
      </c>
      <c r="F8" t="s">
        <v>33</v>
      </c>
      <c r="G8" t="s">
        <v>24</v>
      </c>
      <c r="H8">
        <v>5</v>
      </c>
      <c r="I8">
        <v>25.5</v>
      </c>
      <c r="J8" t="s">
        <v>28</v>
      </c>
      <c r="K8">
        <v>2.5</v>
      </c>
      <c r="L8">
        <v>67</v>
      </c>
      <c r="M8" t="s">
        <v>21</v>
      </c>
      <c r="N8">
        <v>4.6539999999999999</v>
      </c>
      <c r="O8">
        <f t="shared" si="1"/>
        <v>1.8616000000000001</v>
      </c>
      <c r="P8" t="s">
        <v>27</v>
      </c>
      <c r="Q8">
        <v>1.484</v>
      </c>
      <c r="R8">
        <f t="shared" si="2"/>
        <v>0.59360000000000002</v>
      </c>
      <c r="S8" t="s">
        <v>24</v>
      </c>
      <c r="T8">
        <v>0.35799999999999998</v>
      </c>
      <c r="U8">
        <f t="shared" si="3"/>
        <v>14.32</v>
      </c>
      <c r="W8">
        <v>0.89300000000000002</v>
      </c>
      <c r="X8">
        <f t="shared" si="4"/>
        <v>28.349206349206352</v>
      </c>
      <c r="Y8" t="s">
        <v>28</v>
      </c>
      <c r="Z8">
        <v>0.61099999999999999</v>
      </c>
      <c r="AB8">
        <v>8</v>
      </c>
      <c r="AD8" s="16"/>
    </row>
    <row r="9" spans="1:30" hidden="1" x14ac:dyDescent="0.25">
      <c r="A9" t="s">
        <v>39</v>
      </c>
      <c r="B9" t="s">
        <v>21</v>
      </c>
      <c r="C9">
        <v>20.75</v>
      </c>
      <c r="D9" t="s">
        <v>27</v>
      </c>
      <c r="E9">
        <v>20.75</v>
      </c>
      <c r="F9" t="s">
        <v>40</v>
      </c>
      <c r="G9" t="s">
        <v>35</v>
      </c>
      <c r="H9">
        <v>25</v>
      </c>
      <c r="I9">
        <v>32</v>
      </c>
      <c r="J9" t="s">
        <v>28</v>
      </c>
      <c r="K9">
        <v>1.5</v>
      </c>
      <c r="L9">
        <v>41.5</v>
      </c>
      <c r="M9" t="s">
        <v>21</v>
      </c>
      <c r="N9">
        <v>2.6469999999999998</v>
      </c>
      <c r="O9">
        <f t="shared" si="1"/>
        <v>1.0588</v>
      </c>
      <c r="P9" t="s">
        <v>27</v>
      </c>
      <c r="Q9">
        <v>1.5669999999999999</v>
      </c>
      <c r="R9">
        <f t="shared" si="2"/>
        <v>0.62680000000000002</v>
      </c>
      <c r="S9" t="s">
        <v>35</v>
      </c>
      <c r="T9">
        <v>2.0110000000000001</v>
      </c>
      <c r="U9">
        <f t="shared" si="3"/>
        <v>80.440000000000012</v>
      </c>
      <c r="W9">
        <v>1.3380000000000001</v>
      </c>
      <c r="X9">
        <f t="shared" si="4"/>
        <v>42.476190476190482</v>
      </c>
      <c r="Y9" t="s">
        <v>28</v>
      </c>
      <c r="Z9">
        <v>0.438</v>
      </c>
      <c r="AB9">
        <v>8</v>
      </c>
      <c r="AD9" s="16"/>
    </row>
    <row r="10" spans="1:30" hidden="1" x14ac:dyDescent="0.25">
      <c r="A10" t="s">
        <v>41</v>
      </c>
      <c r="B10" t="s">
        <v>30</v>
      </c>
      <c r="C10">
        <v>12.95</v>
      </c>
      <c r="D10" t="s">
        <v>27</v>
      </c>
      <c r="E10">
        <v>24.05</v>
      </c>
      <c r="F10" t="s">
        <v>31</v>
      </c>
      <c r="G10" t="s">
        <v>35</v>
      </c>
      <c r="H10">
        <v>35</v>
      </c>
      <c r="I10">
        <v>25.5</v>
      </c>
      <c r="J10" t="s">
        <v>28</v>
      </c>
      <c r="K10">
        <v>2.5</v>
      </c>
      <c r="L10">
        <v>37</v>
      </c>
      <c r="M10" t="s">
        <v>30</v>
      </c>
      <c r="N10">
        <v>1.349</v>
      </c>
      <c r="O10">
        <f t="shared" si="1"/>
        <v>0.53959999999999997</v>
      </c>
      <c r="P10" t="s">
        <v>27</v>
      </c>
      <c r="Q10">
        <v>1.88</v>
      </c>
      <c r="R10">
        <f t="shared" si="2"/>
        <v>0.752</v>
      </c>
      <c r="S10" t="s">
        <v>35</v>
      </c>
      <c r="T10">
        <v>2.9140000000000001</v>
      </c>
      <c r="U10">
        <f t="shared" si="3"/>
        <v>116.56000000000003</v>
      </c>
      <c r="W10">
        <v>1.103</v>
      </c>
      <c r="X10">
        <f t="shared" si="4"/>
        <v>35.015873015873019</v>
      </c>
      <c r="Y10" t="s">
        <v>28</v>
      </c>
      <c r="Z10">
        <v>0.755</v>
      </c>
      <c r="AB10">
        <v>8</v>
      </c>
      <c r="AD10" s="16"/>
    </row>
    <row r="11" spans="1:30" hidden="1" x14ac:dyDescent="0.25">
      <c r="A11" t="s">
        <v>42</v>
      </c>
      <c r="B11" t="s">
        <v>30</v>
      </c>
      <c r="C11">
        <v>18.38</v>
      </c>
      <c r="D11" t="s">
        <v>30</v>
      </c>
      <c r="E11">
        <v>34.119999999999997</v>
      </c>
      <c r="F11" t="s">
        <v>31</v>
      </c>
      <c r="G11" t="s">
        <v>35</v>
      </c>
      <c r="H11">
        <v>5</v>
      </c>
      <c r="I11">
        <v>38.5</v>
      </c>
      <c r="J11" t="s">
        <v>28</v>
      </c>
      <c r="K11">
        <v>4</v>
      </c>
      <c r="L11">
        <v>52.5</v>
      </c>
      <c r="M11" t="s">
        <v>30</v>
      </c>
      <c r="N11">
        <v>1.7490000000000001</v>
      </c>
      <c r="O11">
        <f t="shared" si="1"/>
        <v>0.69960000000000011</v>
      </c>
      <c r="P11" t="s">
        <v>30</v>
      </c>
      <c r="Q11">
        <v>3.246</v>
      </c>
      <c r="R11">
        <f t="shared" si="2"/>
        <v>1.2984</v>
      </c>
      <c r="S11" t="s">
        <v>35</v>
      </c>
      <c r="T11">
        <v>0.38</v>
      </c>
      <c r="U11">
        <f t="shared" si="3"/>
        <v>15.200000000000001</v>
      </c>
      <c r="W11">
        <v>1.5209999999999999</v>
      </c>
      <c r="X11">
        <f t="shared" si="4"/>
        <v>48.285714285714292</v>
      </c>
      <c r="Y11" t="s">
        <v>28</v>
      </c>
      <c r="Z11">
        <v>1.1040000000000001</v>
      </c>
      <c r="AB11">
        <v>8</v>
      </c>
      <c r="AD11" s="16"/>
    </row>
    <row r="12" spans="1:30" hidden="1" x14ac:dyDescent="0.25">
      <c r="A12" t="s">
        <v>43</v>
      </c>
      <c r="B12" t="s">
        <v>21</v>
      </c>
      <c r="C12">
        <v>13.38</v>
      </c>
      <c r="D12" t="s">
        <v>22</v>
      </c>
      <c r="E12">
        <v>13.38</v>
      </c>
      <c r="F12" t="s">
        <v>40</v>
      </c>
      <c r="G12" t="s">
        <v>35</v>
      </c>
      <c r="H12">
        <v>50</v>
      </c>
      <c r="I12">
        <v>19.25</v>
      </c>
      <c r="J12" t="s">
        <v>25</v>
      </c>
      <c r="K12">
        <v>4</v>
      </c>
      <c r="L12">
        <v>26.75</v>
      </c>
      <c r="M12" t="s">
        <v>21</v>
      </c>
      <c r="N12">
        <v>1.5229999999999999</v>
      </c>
      <c r="O12">
        <f t="shared" si="1"/>
        <v>0.60919999999999996</v>
      </c>
      <c r="P12" t="s">
        <v>22</v>
      </c>
      <c r="Q12">
        <v>1.2010000000000001</v>
      </c>
      <c r="R12">
        <f t="shared" si="2"/>
        <v>0.48040000000000005</v>
      </c>
      <c r="S12" t="s">
        <v>35</v>
      </c>
      <c r="T12">
        <v>3.589</v>
      </c>
      <c r="U12">
        <f t="shared" si="3"/>
        <v>143.56</v>
      </c>
      <c r="W12">
        <v>0.71799999999999997</v>
      </c>
      <c r="X12">
        <f t="shared" si="4"/>
        <v>22.793650793650798</v>
      </c>
      <c r="Y12" t="s">
        <v>25</v>
      </c>
      <c r="Z12">
        <v>0.96799999999999997</v>
      </c>
      <c r="AB12">
        <v>8</v>
      </c>
      <c r="AD12" s="16"/>
    </row>
    <row r="13" spans="1:30" hidden="1" x14ac:dyDescent="0.25">
      <c r="A13" t="s">
        <v>44</v>
      </c>
      <c r="B13" t="s">
        <v>22</v>
      </c>
      <c r="C13">
        <v>7.7</v>
      </c>
      <c r="D13" t="s">
        <v>30</v>
      </c>
      <c r="E13">
        <v>14.3</v>
      </c>
      <c r="F13" t="s">
        <v>31</v>
      </c>
      <c r="G13" t="s">
        <v>24</v>
      </c>
      <c r="H13">
        <v>50</v>
      </c>
      <c r="I13">
        <v>25.5</v>
      </c>
      <c r="J13" t="s">
        <v>37</v>
      </c>
      <c r="K13">
        <v>2.5</v>
      </c>
      <c r="L13">
        <v>22</v>
      </c>
      <c r="M13" t="s">
        <v>22</v>
      </c>
      <c r="N13">
        <v>0.746</v>
      </c>
      <c r="O13">
        <f t="shared" si="1"/>
        <v>0.2984</v>
      </c>
      <c r="P13" t="s">
        <v>30</v>
      </c>
      <c r="Q13">
        <v>1.3859999999999999</v>
      </c>
      <c r="R13">
        <f t="shared" si="2"/>
        <v>0.5544</v>
      </c>
      <c r="S13" t="s">
        <v>24</v>
      </c>
      <c r="T13">
        <v>4.1130000000000004</v>
      </c>
      <c r="U13">
        <f t="shared" si="3"/>
        <v>164.52000000000004</v>
      </c>
      <c r="W13">
        <v>1.0269999999999999</v>
      </c>
      <c r="X13">
        <f t="shared" si="4"/>
        <v>32.603174603174608</v>
      </c>
      <c r="Y13" t="s">
        <v>37</v>
      </c>
      <c r="Z13">
        <v>0.72899999999999998</v>
      </c>
      <c r="AB13">
        <v>8</v>
      </c>
      <c r="AD13" s="16"/>
    </row>
    <row r="14" spans="1:30" hidden="1" x14ac:dyDescent="0.25">
      <c r="A14" t="s">
        <v>45</v>
      </c>
      <c r="B14" t="s">
        <v>22</v>
      </c>
      <c r="C14">
        <v>20.3</v>
      </c>
      <c r="D14" t="s">
        <v>22</v>
      </c>
      <c r="E14">
        <v>37.700000000000003</v>
      </c>
      <c r="F14" t="s">
        <v>31</v>
      </c>
      <c r="G14" t="s">
        <v>24</v>
      </c>
      <c r="H14">
        <v>15</v>
      </c>
      <c r="I14">
        <v>25.5</v>
      </c>
      <c r="J14" t="s">
        <v>37</v>
      </c>
      <c r="K14">
        <v>1.5</v>
      </c>
      <c r="L14">
        <v>58</v>
      </c>
      <c r="M14" t="s">
        <v>22</v>
      </c>
      <c r="N14">
        <v>1.891</v>
      </c>
      <c r="O14">
        <f t="shared" si="1"/>
        <v>0.75640000000000007</v>
      </c>
      <c r="P14" t="s">
        <v>22</v>
      </c>
      <c r="Q14">
        <v>3.5129999999999999</v>
      </c>
      <c r="R14">
        <f t="shared" si="2"/>
        <v>1.4052</v>
      </c>
      <c r="S14" t="s">
        <v>24</v>
      </c>
      <c r="T14">
        <v>1.1870000000000001</v>
      </c>
      <c r="U14">
        <f t="shared" si="3"/>
        <v>47.480000000000011</v>
      </c>
      <c r="W14">
        <v>0.98799999999999999</v>
      </c>
      <c r="X14">
        <f t="shared" si="4"/>
        <v>31.365079365079367</v>
      </c>
      <c r="Y14" t="s">
        <v>37</v>
      </c>
      <c r="Z14">
        <v>0.42099999999999999</v>
      </c>
      <c r="AB14">
        <v>8</v>
      </c>
      <c r="AD14" s="16"/>
    </row>
    <row r="15" spans="1:30" hidden="1" x14ac:dyDescent="0.25">
      <c r="A15" t="s">
        <v>46</v>
      </c>
      <c r="B15" t="s">
        <v>30</v>
      </c>
      <c r="C15">
        <v>35.200000000000003</v>
      </c>
      <c r="D15" t="s">
        <v>30</v>
      </c>
      <c r="E15">
        <v>8.8000000000000007</v>
      </c>
      <c r="F15" t="s">
        <v>23</v>
      </c>
      <c r="G15" t="s">
        <v>35</v>
      </c>
      <c r="H15">
        <v>15</v>
      </c>
      <c r="I15">
        <v>38.5</v>
      </c>
      <c r="J15" t="s">
        <v>28</v>
      </c>
      <c r="K15">
        <v>2.5</v>
      </c>
      <c r="L15">
        <v>44</v>
      </c>
      <c r="M15" t="s">
        <v>30</v>
      </c>
      <c r="N15">
        <v>3.5539999999999998</v>
      </c>
      <c r="O15">
        <f t="shared" si="1"/>
        <v>1.4216</v>
      </c>
      <c r="P15" t="s">
        <v>30</v>
      </c>
      <c r="Q15">
        <v>0.88800000000000001</v>
      </c>
      <c r="R15">
        <f t="shared" si="2"/>
        <v>0.35520000000000002</v>
      </c>
      <c r="S15" t="s">
        <v>35</v>
      </c>
      <c r="T15">
        <v>1.2110000000000001</v>
      </c>
      <c r="U15">
        <f t="shared" si="3"/>
        <v>48.440000000000005</v>
      </c>
      <c r="W15">
        <v>1.615</v>
      </c>
      <c r="X15">
        <f t="shared" si="4"/>
        <v>51.269841269841272</v>
      </c>
      <c r="Y15" t="s">
        <v>28</v>
      </c>
      <c r="Z15">
        <v>0.73199999999999998</v>
      </c>
      <c r="AB15">
        <v>8</v>
      </c>
      <c r="AD15" s="16"/>
    </row>
    <row r="16" spans="1:30" hidden="1" x14ac:dyDescent="0.25">
      <c r="A16" t="s">
        <v>47</v>
      </c>
      <c r="B16" t="s">
        <v>30</v>
      </c>
      <c r="C16">
        <v>17.149999999999999</v>
      </c>
      <c r="D16" t="s">
        <v>27</v>
      </c>
      <c r="E16">
        <v>31.85</v>
      </c>
      <c r="F16" t="s">
        <v>31</v>
      </c>
      <c r="G16" t="s">
        <v>24</v>
      </c>
      <c r="H16">
        <v>15</v>
      </c>
      <c r="I16">
        <v>32</v>
      </c>
      <c r="J16" t="s">
        <v>28</v>
      </c>
      <c r="K16">
        <v>4</v>
      </c>
      <c r="L16">
        <v>49</v>
      </c>
      <c r="M16" t="s">
        <v>30</v>
      </c>
      <c r="N16">
        <v>1.744</v>
      </c>
      <c r="O16">
        <f t="shared" si="1"/>
        <v>0.6976</v>
      </c>
      <c r="P16" t="s">
        <v>27</v>
      </c>
      <c r="Q16">
        <v>2.4300000000000002</v>
      </c>
      <c r="R16">
        <f t="shared" si="2"/>
        <v>0.97200000000000009</v>
      </c>
      <c r="S16" t="s">
        <v>24</v>
      </c>
      <c r="T16">
        <v>1.2949999999999999</v>
      </c>
      <c r="U16">
        <f t="shared" si="3"/>
        <v>51.8</v>
      </c>
      <c r="W16">
        <v>1.3520000000000001</v>
      </c>
      <c r="X16">
        <f t="shared" si="4"/>
        <v>42.920634920634932</v>
      </c>
      <c r="Y16" t="s">
        <v>28</v>
      </c>
      <c r="Z16">
        <v>1.18</v>
      </c>
      <c r="AB16">
        <v>8</v>
      </c>
      <c r="AD16" s="16"/>
    </row>
    <row r="17" spans="1:30" hidden="1" x14ac:dyDescent="0.25">
      <c r="A17" t="s">
        <v>48</v>
      </c>
      <c r="B17" t="s">
        <v>22</v>
      </c>
      <c r="C17">
        <v>14.5</v>
      </c>
      <c r="D17" t="s">
        <v>30</v>
      </c>
      <c r="E17">
        <v>14.5</v>
      </c>
      <c r="F17" t="s">
        <v>40</v>
      </c>
      <c r="G17" t="s">
        <v>24</v>
      </c>
      <c r="H17">
        <v>35</v>
      </c>
      <c r="I17">
        <v>32</v>
      </c>
      <c r="J17" t="s">
        <v>25</v>
      </c>
      <c r="K17">
        <v>4</v>
      </c>
      <c r="L17">
        <v>29</v>
      </c>
      <c r="M17" t="s">
        <v>22</v>
      </c>
      <c r="N17">
        <v>1.4</v>
      </c>
      <c r="O17">
        <f>N17*0.4*10</f>
        <v>5.6</v>
      </c>
      <c r="P17" s="6" t="s">
        <v>30</v>
      </c>
      <c r="Q17">
        <v>1.401</v>
      </c>
      <c r="R17">
        <f>Q17*0.4</f>
        <v>0.56040000000000001</v>
      </c>
      <c r="S17" t="s">
        <v>24</v>
      </c>
      <c r="T17">
        <v>2.8719999999999999</v>
      </c>
      <c r="U17">
        <f t="shared" si="3"/>
        <v>114.88000000000001</v>
      </c>
      <c r="W17">
        <v>1.2849999999999999</v>
      </c>
      <c r="X17">
        <f t="shared" si="4"/>
        <v>40.793650793650798</v>
      </c>
      <c r="Y17" t="s">
        <v>25</v>
      </c>
      <c r="Z17">
        <v>1.042</v>
      </c>
      <c r="AA17">
        <f>Z17*0.4*1000/5</f>
        <v>83.360000000000014</v>
      </c>
      <c r="AB17">
        <v>8</v>
      </c>
      <c r="AC17">
        <f>400-O17-R17-U17-X17-AA17</f>
        <v>154.80594920634917</v>
      </c>
      <c r="AD17" s="16"/>
    </row>
    <row r="18" spans="1:30" hidden="1" x14ac:dyDescent="0.25">
      <c r="A18" t="s">
        <v>49</v>
      </c>
      <c r="B18" t="s">
        <v>22</v>
      </c>
      <c r="C18">
        <v>30.55</v>
      </c>
      <c r="D18" t="s">
        <v>30</v>
      </c>
      <c r="E18">
        <v>16.45</v>
      </c>
      <c r="F18" t="s">
        <v>33</v>
      </c>
      <c r="G18" t="s">
        <v>35</v>
      </c>
      <c r="H18">
        <v>25</v>
      </c>
      <c r="I18">
        <v>25.5</v>
      </c>
      <c r="J18" t="s">
        <v>25</v>
      </c>
      <c r="K18">
        <v>2.5</v>
      </c>
      <c r="L18">
        <v>47</v>
      </c>
      <c r="M18" t="s">
        <v>22</v>
      </c>
      <c r="N18">
        <v>2.8969999999999998</v>
      </c>
      <c r="O18">
        <f t="shared" ref="O18:O41" si="5">N18*0.4*10</f>
        <v>11.588000000000001</v>
      </c>
      <c r="P18" s="6" t="s">
        <v>30</v>
      </c>
      <c r="Q18">
        <v>1.5609999999999999</v>
      </c>
      <c r="R18">
        <f t="shared" si="2"/>
        <v>0.62440000000000007</v>
      </c>
      <c r="S18" t="s">
        <v>35</v>
      </c>
      <c r="T18">
        <v>1.897</v>
      </c>
      <c r="U18">
        <f>(T18*0.4)/10*1000</f>
        <v>75.88000000000001</v>
      </c>
      <c r="W18">
        <v>1.0049999999999999</v>
      </c>
      <c r="X18">
        <f t="shared" si="4"/>
        <v>31.904761904761902</v>
      </c>
      <c r="Y18" t="s">
        <v>25</v>
      </c>
      <c r="Z18">
        <v>0.64</v>
      </c>
      <c r="AA18">
        <f t="shared" ref="AA18:AA43" si="6">Z18*0.4*1000/5</f>
        <v>51.2</v>
      </c>
      <c r="AB18">
        <v>8</v>
      </c>
      <c r="AC18">
        <f>400-O18-R18-U18-X18-AA18</f>
        <v>228.80283809523809</v>
      </c>
      <c r="AD18" s="16"/>
    </row>
    <row r="19" spans="1:30" hidden="1" x14ac:dyDescent="0.25">
      <c r="A19" t="s">
        <v>50</v>
      </c>
      <c r="B19" t="s">
        <v>22</v>
      </c>
      <c r="C19">
        <v>24.4</v>
      </c>
      <c r="D19" t="s">
        <v>30</v>
      </c>
      <c r="E19">
        <v>6.1</v>
      </c>
      <c r="F19" t="s">
        <v>23</v>
      </c>
      <c r="G19" t="s">
        <v>35</v>
      </c>
      <c r="H19">
        <v>35</v>
      </c>
      <c r="I19">
        <v>32</v>
      </c>
      <c r="J19" t="s">
        <v>25</v>
      </c>
      <c r="K19">
        <v>2.5</v>
      </c>
      <c r="L19">
        <v>30.5</v>
      </c>
      <c r="M19" t="s">
        <v>22</v>
      </c>
      <c r="N19">
        <v>2.4849999999999999</v>
      </c>
      <c r="O19">
        <f t="shared" si="5"/>
        <v>9.94</v>
      </c>
      <c r="P19" s="6" t="s">
        <v>30</v>
      </c>
      <c r="Q19">
        <v>0.622</v>
      </c>
      <c r="R19">
        <f t="shared" si="2"/>
        <v>0.24880000000000002</v>
      </c>
      <c r="S19" t="s">
        <v>35</v>
      </c>
      <c r="T19">
        <v>2.8519999999999999</v>
      </c>
      <c r="U19">
        <f t="shared" si="3"/>
        <v>114.08</v>
      </c>
      <c r="W19">
        <v>1.355</v>
      </c>
      <c r="X19">
        <f t="shared" si="4"/>
        <v>43.015873015873019</v>
      </c>
      <c r="Y19" t="s">
        <v>25</v>
      </c>
      <c r="Z19">
        <v>0.68700000000000006</v>
      </c>
      <c r="AA19">
        <f t="shared" si="6"/>
        <v>54.960000000000015</v>
      </c>
      <c r="AB19">
        <v>8</v>
      </c>
      <c r="AC19">
        <f>400-O19-R19-U19-X19-AA19</f>
        <v>177.75532698412698</v>
      </c>
      <c r="AD19" s="16"/>
    </row>
    <row r="20" spans="1:30" hidden="1" x14ac:dyDescent="0.25">
      <c r="A20" t="s">
        <v>51</v>
      </c>
      <c r="B20" t="s">
        <v>21</v>
      </c>
      <c r="C20">
        <v>8.75</v>
      </c>
      <c r="D20" t="s">
        <v>30</v>
      </c>
      <c r="E20">
        <v>16.25</v>
      </c>
      <c r="F20" t="s">
        <v>31</v>
      </c>
      <c r="G20" t="s">
        <v>35</v>
      </c>
      <c r="H20">
        <v>35</v>
      </c>
      <c r="I20">
        <v>38.5</v>
      </c>
      <c r="J20" t="s">
        <v>37</v>
      </c>
      <c r="K20">
        <v>1.5</v>
      </c>
      <c r="L20">
        <v>25</v>
      </c>
      <c r="M20" t="s">
        <v>21</v>
      </c>
      <c r="N20">
        <v>1.17</v>
      </c>
      <c r="O20">
        <f t="shared" si="5"/>
        <v>4.68</v>
      </c>
      <c r="P20" s="6" t="s">
        <v>30</v>
      </c>
      <c r="Q20">
        <v>1.714</v>
      </c>
      <c r="R20">
        <f t="shared" si="2"/>
        <v>0.68559999999999999</v>
      </c>
      <c r="S20" t="s">
        <v>35</v>
      </c>
      <c r="T20">
        <v>2.952</v>
      </c>
      <c r="U20">
        <f t="shared" si="3"/>
        <v>118.08</v>
      </c>
      <c r="W20">
        <v>1.6870000000000001</v>
      </c>
      <c r="X20">
        <f t="shared" si="4"/>
        <v>53.555555555555564</v>
      </c>
      <c r="Y20" t="s">
        <v>37</v>
      </c>
      <c r="Z20">
        <v>0.47599999999999998</v>
      </c>
      <c r="AA20">
        <f t="shared" si="6"/>
        <v>38.08</v>
      </c>
      <c r="AB20">
        <v>8</v>
      </c>
      <c r="AC20">
        <f>400-O20-R20-U20-X20-AA20</f>
        <v>184.9188444444444</v>
      </c>
      <c r="AD20" s="16"/>
    </row>
    <row r="21" spans="1:30" hidden="1" x14ac:dyDescent="0.25">
      <c r="A21" t="s">
        <v>52</v>
      </c>
      <c r="B21" t="s">
        <v>30</v>
      </c>
      <c r="C21">
        <v>13.33</v>
      </c>
      <c r="D21" t="s">
        <v>27</v>
      </c>
      <c r="E21">
        <v>7.17</v>
      </c>
      <c r="F21" t="s">
        <v>33</v>
      </c>
      <c r="G21" t="s">
        <v>35</v>
      </c>
      <c r="H21">
        <v>50</v>
      </c>
      <c r="I21">
        <v>25.5</v>
      </c>
      <c r="J21" t="s">
        <v>25</v>
      </c>
      <c r="K21">
        <v>4</v>
      </c>
      <c r="L21">
        <v>20.5</v>
      </c>
      <c r="M21" t="s">
        <v>30</v>
      </c>
      <c r="N21">
        <v>1.3320000000000001</v>
      </c>
      <c r="O21">
        <f>N21*0.4</f>
        <v>0.53280000000000005</v>
      </c>
      <c r="P21" t="s">
        <v>27</v>
      </c>
      <c r="Q21">
        <v>0.53800000000000003</v>
      </c>
      <c r="R21">
        <f>Q21*0.4*10</f>
        <v>2.1520000000000001</v>
      </c>
      <c r="S21" t="s">
        <v>35</v>
      </c>
      <c r="T21">
        <v>3.9940000000000002</v>
      </c>
      <c r="U21">
        <f t="shared" si="3"/>
        <v>159.76000000000002</v>
      </c>
      <c r="W21">
        <v>1.0589999999999999</v>
      </c>
      <c r="X21">
        <f t="shared" si="4"/>
        <v>33.61904761904762</v>
      </c>
      <c r="Y21" t="s">
        <v>25</v>
      </c>
      <c r="Z21">
        <v>1.0780000000000001</v>
      </c>
      <c r="AA21">
        <f t="shared" si="6"/>
        <v>86.240000000000009</v>
      </c>
      <c r="AB21">
        <v>8</v>
      </c>
      <c r="AC21">
        <f>400-O21-R21-U21-X21-AA21</f>
        <v>117.69615238095236</v>
      </c>
      <c r="AD21" s="16"/>
    </row>
    <row r="22" spans="1:30" hidden="1" x14ac:dyDescent="0.25">
      <c r="A22" s="3" t="s">
        <v>53</v>
      </c>
      <c r="B22" s="3" t="s">
        <v>21</v>
      </c>
      <c r="C22" s="3">
        <v>26.98</v>
      </c>
      <c r="D22" s="3" t="s">
        <v>22</v>
      </c>
      <c r="E22" s="3">
        <v>14.52</v>
      </c>
      <c r="F22" s="3" t="s">
        <v>33</v>
      </c>
      <c r="G22" s="3" t="s">
        <v>24</v>
      </c>
      <c r="H22" s="3">
        <v>25</v>
      </c>
      <c r="I22" s="3">
        <v>32</v>
      </c>
      <c r="J22" s="3" t="s">
        <v>37</v>
      </c>
      <c r="K22" s="3">
        <v>1.5</v>
      </c>
      <c r="L22" s="3">
        <v>41.5</v>
      </c>
      <c r="M22" s="3" t="s">
        <v>21</v>
      </c>
      <c r="N22" s="3">
        <v>3.1190000000000002</v>
      </c>
      <c r="O22">
        <f t="shared" si="5"/>
        <v>12.476000000000003</v>
      </c>
      <c r="P22" s="3" t="s">
        <v>22</v>
      </c>
      <c r="Q22" s="3">
        <v>1.323</v>
      </c>
      <c r="R22">
        <f>Q22*0.4*10</f>
        <v>5.2919999999999998</v>
      </c>
      <c r="S22" s="3" t="s">
        <v>24</v>
      </c>
      <c r="T22" s="3">
        <v>1.9350000000000001</v>
      </c>
      <c r="U22" s="3">
        <f t="shared" si="3"/>
        <v>77.399999999999991</v>
      </c>
      <c r="V22" s="3">
        <v>1</v>
      </c>
      <c r="W22" s="3">
        <v>1.212</v>
      </c>
      <c r="X22" s="3">
        <f t="shared" si="4"/>
        <v>38.476190476190474</v>
      </c>
      <c r="Y22" s="3" t="s">
        <v>37</v>
      </c>
      <c r="Z22" s="3">
        <v>0.41099999999999998</v>
      </c>
      <c r="AA22">
        <f t="shared" si="6"/>
        <v>32.879999999999995</v>
      </c>
      <c r="AB22" s="3">
        <v>8</v>
      </c>
      <c r="AC22">
        <f>400-O22-R22-U22-X22-AA22</f>
        <v>233.47580952380957</v>
      </c>
      <c r="AD22" s="16">
        <v>1</v>
      </c>
    </row>
    <row r="23" spans="1:30" hidden="1" x14ac:dyDescent="0.25">
      <c r="A23" t="s">
        <v>54</v>
      </c>
      <c r="B23" t="s">
        <v>30</v>
      </c>
      <c r="C23">
        <v>20.75</v>
      </c>
      <c r="D23" t="s">
        <v>55</v>
      </c>
      <c r="E23">
        <v>20.75</v>
      </c>
      <c r="F23" t="s">
        <v>40</v>
      </c>
      <c r="G23" t="s">
        <v>35</v>
      </c>
      <c r="H23">
        <v>25</v>
      </c>
      <c r="I23">
        <v>32</v>
      </c>
      <c r="J23" t="s">
        <v>37</v>
      </c>
      <c r="K23">
        <v>1.5</v>
      </c>
      <c r="L23">
        <v>41.5</v>
      </c>
      <c r="M23" s="6" t="s">
        <v>30</v>
      </c>
      <c r="N23">
        <v>2.1320000000000001</v>
      </c>
      <c r="O23">
        <f>N23*0.4</f>
        <v>0.85280000000000011</v>
      </c>
      <c r="P23" s="6" t="s">
        <v>55</v>
      </c>
      <c r="Q23">
        <v>1.986</v>
      </c>
      <c r="R23">
        <f t="shared" si="2"/>
        <v>0.7944</v>
      </c>
      <c r="S23" t="s">
        <v>35</v>
      </c>
      <c r="T23">
        <v>2.0529999999999999</v>
      </c>
      <c r="U23">
        <f t="shared" si="3"/>
        <v>82.12</v>
      </c>
      <c r="V23">
        <v>2</v>
      </c>
      <c r="W23">
        <v>1.3660000000000001</v>
      </c>
      <c r="X23">
        <f t="shared" si="4"/>
        <v>43.365079365079374</v>
      </c>
      <c r="Y23" t="s">
        <v>37</v>
      </c>
      <c r="Z23">
        <v>0.46400000000000002</v>
      </c>
      <c r="AA23">
        <f t="shared" si="6"/>
        <v>37.120000000000005</v>
      </c>
      <c r="AB23">
        <v>8</v>
      </c>
      <c r="AC23">
        <f>400-O23-R23-U23-X23-AA23</f>
        <v>235.7477206349206</v>
      </c>
      <c r="AD23" s="16">
        <v>2</v>
      </c>
    </row>
    <row r="24" spans="1:30" hidden="1" x14ac:dyDescent="0.25">
      <c r="A24" t="s">
        <v>56</v>
      </c>
      <c r="B24" t="s">
        <v>30</v>
      </c>
      <c r="C24">
        <v>11.1</v>
      </c>
      <c r="D24" t="s">
        <v>30</v>
      </c>
      <c r="E24">
        <v>44.4</v>
      </c>
      <c r="F24" t="s">
        <v>57</v>
      </c>
      <c r="G24" t="s">
        <v>24</v>
      </c>
      <c r="H24">
        <v>15</v>
      </c>
      <c r="I24">
        <v>25.5</v>
      </c>
      <c r="J24" t="s">
        <v>28</v>
      </c>
      <c r="K24">
        <v>4</v>
      </c>
      <c r="L24">
        <v>55.5</v>
      </c>
      <c r="M24" s="6" t="s">
        <v>30</v>
      </c>
      <c r="N24">
        <v>0.98199999999999998</v>
      </c>
      <c r="O24">
        <f t="shared" ref="O24:O25" si="7">N24*0.4</f>
        <v>0.39280000000000004</v>
      </c>
      <c r="P24" s="6" t="s">
        <v>30</v>
      </c>
      <c r="Q24">
        <v>3.9279999999999999</v>
      </c>
      <c r="R24">
        <f t="shared" si="2"/>
        <v>1.5712000000000002</v>
      </c>
      <c r="S24" t="s">
        <v>24</v>
      </c>
      <c r="T24">
        <v>1.1259999999999999</v>
      </c>
      <c r="U24">
        <f t="shared" si="3"/>
        <v>45.04</v>
      </c>
      <c r="V24" s="3">
        <v>3</v>
      </c>
      <c r="W24">
        <v>0.93700000000000006</v>
      </c>
      <c r="X24">
        <f t="shared" si="4"/>
        <v>29.74603174603175</v>
      </c>
      <c r="Y24" t="s">
        <v>28</v>
      </c>
      <c r="Z24">
        <v>1.026</v>
      </c>
      <c r="AA24">
        <f t="shared" si="6"/>
        <v>82.080000000000013</v>
      </c>
      <c r="AB24">
        <v>8</v>
      </c>
      <c r="AC24">
        <f>400-O24-R24-U24-X24-AA24</f>
        <v>241.16996825396822</v>
      </c>
      <c r="AD24" s="16">
        <v>3</v>
      </c>
    </row>
    <row r="25" spans="1:30" hidden="1" x14ac:dyDescent="0.25">
      <c r="A25" t="s">
        <v>58</v>
      </c>
      <c r="B25" t="s">
        <v>30</v>
      </c>
      <c r="C25">
        <v>18</v>
      </c>
      <c r="D25" t="s">
        <v>55</v>
      </c>
      <c r="E25">
        <v>4.5</v>
      </c>
      <c r="F25" t="s">
        <v>23</v>
      </c>
      <c r="G25" t="s">
        <v>35</v>
      </c>
      <c r="H25">
        <v>35</v>
      </c>
      <c r="I25">
        <v>38.5</v>
      </c>
      <c r="J25" t="s">
        <v>37</v>
      </c>
      <c r="K25">
        <v>4</v>
      </c>
      <c r="L25">
        <v>22.5</v>
      </c>
      <c r="M25" s="6" t="s">
        <v>30</v>
      </c>
      <c r="N25">
        <v>1.8420000000000001</v>
      </c>
      <c r="O25">
        <f t="shared" si="7"/>
        <v>0.73680000000000012</v>
      </c>
      <c r="P25" s="6" t="s">
        <v>55</v>
      </c>
      <c r="Q25">
        <v>0.42899999999999999</v>
      </c>
      <c r="R25">
        <f t="shared" si="2"/>
        <v>0.1716</v>
      </c>
      <c r="S25" t="s">
        <v>35</v>
      </c>
      <c r="T25">
        <v>2.8620000000000001</v>
      </c>
      <c r="U25">
        <f t="shared" si="3"/>
        <v>114.48</v>
      </c>
      <c r="V25">
        <v>4</v>
      </c>
      <c r="W25">
        <v>1.6359999999999999</v>
      </c>
      <c r="X25">
        <f t="shared" si="4"/>
        <v>51.936507936507937</v>
      </c>
      <c r="Y25" t="s">
        <v>37</v>
      </c>
      <c r="Z25">
        <v>1.2310000000000001</v>
      </c>
      <c r="AA25">
        <f t="shared" si="6"/>
        <v>98.48</v>
      </c>
      <c r="AB25">
        <v>8</v>
      </c>
      <c r="AC25">
        <f>400-O25-R25-U25-X25-AA25</f>
        <v>134.19509206349198</v>
      </c>
      <c r="AD25" s="16">
        <v>4</v>
      </c>
    </row>
    <row r="26" spans="1:30" hidden="1" x14ac:dyDescent="0.25">
      <c r="A26" t="s">
        <v>59</v>
      </c>
      <c r="B26" t="s">
        <v>21</v>
      </c>
      <c r="C26">
        <v>21.62</v>
      </c>
      <c r="D26" t="s">
        <v>27</v>
      </c>
      <c r="E26">
        <v>21.62</v>
      </c>
      <c r="F26" t="s">
        <v>40</v>
      </c>
      <c r="G26" t="s">
        <v>35</v>
      </c>
      <c r="H26">
        <v>35</v>
      </c>
      <c r="I26">
        <v>19.25</v>
      </c>
      <c r="J26" t="s">
        <v>28</v>
      </c>
      <c r="K26">
        <v>2.5</v>
      </c>
      <c r="L26">
        <v>43.25</v>
      </c>
      <c r="M26" t="s">
        <v>21</v>
      </c>
      <c r="N26">
        <v>2.524</v>
      </c>
      <c r="O26">
        <f t="shared" si="5"/>
        <v>10.096</v>
      </c>
      <c r="P26" t="s">
        <v>27</v>
      </c>
      <c r="Q26">
        <v>1.494</v>
      </c>
      <c r="R26">
        <f>Q26*0.4*10</f>
        <v>5.976</v>
      </c>
      <c r="S26" t="s">
        <v>35</v>
      </c>
      <c r="T26">
        <v>2.577</v>
      </c>
      <c r="U26">
        <f t="shared" si="3"/>
        <v>103.07999999999998</v>
      </c>
      <c r="V26" s="4">
        <v>5</v>
      </c>
      <c r="W26">
        <v>0.73599999999999999</v>
      </c>
      <c r="X26">
        <f t="shared" si="4"/>
        <v>23.365079365079367</v>
      </c>
      <c r="Y26" t="s">
        <v>28</v>
      </c>
      <c r="Z26">
        <v>0.66800000000000004</v>
      </c>
      <c r="AA26">
        <f t="shared" si="6"/>
        <v>53.440000000000012</v>
      </c>
      <c r="AB26">
        <v>8</v>
      </c>
      <c r="AC26">
        <f>400-O26-R26-U26-X26-AA26</f>
        <v>204.04292063492068</v>
      </c>
      <c r="AD26" s="16">
        <v>5</v>
      </c>
    </row>
    <row r="27" spans="1:30" hidden="1" x14ac:dyDescent="0.25">
      <c r="A27" t="s">
        <v>60</v>
      </c>
      <c r="B27" t="s">
        <v>21</v>
      </c>
      <c r="C27">
        <v>5.85</v>
      </c>
      <c r="D27" t="s">
        <v>27</v>
      </c>
      <c r="E27">
        <v>23.4</v>
      </c>
      <c r="F27" t="s">
        <v>57</v>
      </c>
      <c r="G27" t="s">
        <v>35</v>
      </c>
      <c r="H27">
        <v>50</v>
      </c>
      <c r="I27">
        <v>19.25</v>
      </c>
      <c r="J27" t="s">
        <v>37</v>
      </c>
      <c r="K27">
        <v>1.5</v>
      </c>
      <c r="L27">
        <v>29.25</v>
      </c>
      <c r="M27" t="s">
        <v>21</v>
      </c>
      <c r="N27">
        <v>0.76600000000000001</v>
      </c>
      <c r="O27">
        <f t="shared" si="5"/>
        <v>3.0640000000000001</v>
      </c>
      <c r="P27" t="s">
        <v>27</v>
      </c>
      <c r="Q27">
        <v>1.8140000000000001</v>
      </c>
      <c r="R27">
        <f>Q27*0.4*10</f>
        <v>7.2560000000000002</v>
      </c>
      <c r="S27" t="s">
        <v>35</v>
      </c>
      <c r="T27">
        <v>4.1280000000000001</v>
      </c>
      <c r="U27">
        <f t="shared" si="3"/>
        <v>165.12</v>
      </c>
      <c r="V27">
        <v>6</v>
      </c>
      <c r="W27">
        <v>0.82599999999999996</v>
      </c>
      <c r="X27">
        <f t="shared" si="4"/>
        <v>26.222222222222225</v>
      </c>
      <c r="Y27" t="s">
        <v>37</v>
      </c>
      <c r="Z27">
        <v>0.46600000000000003</v>
      </c>
      <c r="AA27">
        <f t="shared" si="6"/>
        <v>37.28</v>
      </c>
      <c r="AB27">
        <v>8</v>
      </c>
      <c r="AC27">
        <f>400-O27-R27-U27-X27-AA27</f>
        <v>161.05777777777772</v>
      </c>
      <c r="AD27" s="16">
        <v>6</v>
      </c>
    </row>
    <row r="28" spans="1:30" hidden="1" x14ac:dyDescent="0.25">
      <c r="A28" t="s">
        <v>61</v>
      </c>
      <c r="B28" t="s">
        <v>30</v>
      </c>
      <c r="C28">
        <v>22.12</v>
      </c>
      <c r="D28" t="s">
        <v>55</v>
      </c>
      <c r="E28">
        <v>22.12</v>
      </c>
      <c r="F28" t="s">
        <v>40</v>
      </c>
      <c r="G28" t="s">
        <v>24</v>
      </c>
      <c r="H28">
        <v>35</v>
      </c>
      <c r="I28">
        <v>19.25</v>
      </c>
      <c r="J28" t="s">
        <v>25</v>
      </c>
      <c r="K28">
        <v>1.5</v>
      </c>
      <c r="L28">
        <v>44.25</v>
      </c>
      <c r="M28" s="6" t="s">
        <v>30</v>
      </c>
      <c r="N28">
        <v>2.0950000000000002</v>
      </c>
      <c r="O28">
        <f>N28*0.4</f>
        <v>0.83800000000000008</v>
      </c>
      <c r="P28" s="6" t="s">
        <v>55</v>
      </c>
      <c r="Q28">
        <v>1.9510000000000001</v>
      </c>
      <c r="R28">
        <f t="shared" si="2"/>
        <v>0.78040000000000009</v>
      </c>
      <c r="S28" t="s">
        <v>24</v>
      </c>
      <c r="T28">
        <v>2.8140000000000001</v>
      </c>
      <c r="U28">
        <f t="shared" si="3"/>
        <v>112.56000000000002</v>
      </c>
      <c r="V28" s="3">
        <v>7</v>
      </c>
      <c r="W28">
        <v>0.75700000000000001</v>
      </c>
      <c r="X28">
        <f t="shared" si="4"/>
        <v>24.031746031746032</v>
      </c>
      <c r="Y28" t="s">
        <v>25</v>
      </c>
      <c r="Z28">
        <v>0.38300000000000001</v>
      </c>
      <c r="AA28">
        <f t="shared" si="6"/>
        <v>30.639999999999997</v>
      </c>
      <c r="AB28">
        <v>8</v>
      </c>
      <c r="AC28">
        <f>400-O28-R28-U28-X28-AA28</f>
        <v>231.14985396825398</v>
      </c>
      <c r="AD28" s="16">
        <v>7</v>
      </c>
    </row>
    <row r="29" spans="1:30" hidden="1" x14ac:dyDescent="0.25">
      <c r="A29" t="s">
        <v>62</v>
      </c>
      <c r="B29" t="s">
        <v>21</v>
      </c>
      <c r="C29">
        <v>10.67</v>
      </c>
      <c r="D29" t="s">
        <v>30</v>
      </c>
      <c r="E29">
        <v>19.82</v>
      </c>
      <c r="F29" t="s">
        <v>31</v>
      </c>
      <c r="G29" t="s">
        <v>35</v>
      </c>
      <c r="H29">
        <v>35</v>
      </c>
      <c r="I29">
        <v>32</v>
      </c>
      <c r="J29" t="s">
        <v>25</v>
      </c>
      <c r="K29">
        <v>2.5</v>
      </c>
      <c r="L29">
        <v>30.5</v>
      </c>
      <c r="M29" t="s">
        <v>21</v>
      </c>
      <c r="N29">
        <v>1.33</v>
      </c>
      <c r="O29">
        <f t="shared" si="5"/>
        <v>5.32</v>
      </c>
      <c r="P29" s="6" t="s">
        <v>30</v>
      </c>
      <c r="Q29">
        <v>1.9490000000000001</v>
      </c>
      <c r="R29">
        <f t="shared" si="2"/>
        <v>0.77960000000000007</v>
      </c>
      <c r="S29" t="s">
        <v>35</v>
      </c>
      <c r="T29">
        <v>2.7509999999999999</v>
      </c>
      <c r="U29">
        <f t="shared" si="3"/>
        <v>110.03999999999999</v>
      </c>
      <c r="V29">
        <v>8</v>
      </c>
      <c r="W29">
        <v>1.3069999999999999</v>
      </c>
      <c r="X29">
        <f t="shared" si="4"/>
        <v>41.492063492063494</v>
      </c>
      <c r="Y29" t="s">
        <v>25</v>
      </c>
      <c r="Z29">
        <v>0.66300000000000003</v>
      </c>
      <c r="AA29">
        <f t="shared" si="6"/>
        <v>53.040000000000006</v>
      </c>
      <c r="AB29">
        <v>8</v>
      </c>
      <c r="AC29">
        <f>400-O29-R29-U29-X29-AA29</f>
        <v>189.32833650793651</v>
      </c>
      <c r="AD29" s="16">
        <v>8</v>
      </c>
    </row>
    <row r="30" spans="1:30" hidden="1" x14ac:dyDescent="0.25">
      <c r="A30" t="s">
        <v>63</v>
      </c>
      <c r="B30" t="s">
        <v>30</v>
      </c>
      <c r="C30">
        <v>12.85</v>
      </c>
      <c r="D30" t="s">
        <v>27</v>
      </c>
      <c r="E30">
        <v>51.4</v>
      </c>
      <c r="F30" t="s">
        <v>57</v>
      </c>
      <c r="G30" t="s">
        <v>24</v>
      </c>
      <c r="H30">
        <v>15</v>
      </c>
      <c r="I30">
        <v>19.25</v>
      </c>
      <c r="J30" t="s">
        <v>28</v>
      </c>
      <c r="K30">
        <v>1.5</v>
      </c>
      <c r="L30">
        <v>64.25</v>
      </c>
      <c r="M30" s="6" t="s">
        <v>30</v>
      </c>
      <c r="N30">
        <v>1.3440000000000001</v>
      </c>
      <c r="O30">
        <f>N30*0.4</f>
        <v>0.53760000000000008</v>
      </c>
      <c r="P30" t="s">
        <v>27</v>
      </c>
      <c r="Q30">
        <v>4.0339999999999998</v>
      </c>
      <c r="R30">
        <f>Q30*0.4*10</f>
        <v>16.135999999999999</v>
      </c>
      <c r="S30" t="s">
        <v>24</v>
      </c>
      <c r="T30">
        <v>1.3320000000000001</v>
      </c>
      <c r="U30">
        <f t="shared" si="3"/>
        <v>53.280000000000008</v>
      </c>
      <c r="V30" s="3">
        <v>9</v>
      </c>
      <c r="W30">
        <v>0.83599999999999997</v>
      </c>
      <c r="X30">
        <f t="shared" si="4"/>
        <v>26.539682539682545</v>
      </c>
      <c r="Y30" t="s">
        <v>28</v>
      </c>
      <c r="Z30">
        <v>0.45500000000000002</v>
      </c>
      <c r="AA30">
        <f t="shared" si="6"/>
        <v>36.400000000000006</v>
      </c>
      <c r="AB30">
        <v>8</v>
      </c>
      <c r="AC30">
        <f>400-O30-R30-U30-X30-AA30</f>
        <v>267.10671746031744</v>
      </c>
      <c r="AD30" s="16">
        <v>9</v>
      </c>
    </row>
    <row r="31" spans="1:30" hidden="1" x14ac:dyDescent="0.25">
      <c r="A31" t="s">
        <v>64</v>
      </c>
      <c r="B31" t="s">
        <v>21</v>
      </c>
      <c r="C31">
        <v>33.5</v>
      </c>
      <c r="D31" t="s">
        <v>30</v>
      </c>
      <c r="E31">
        <v>33.5</v>
      </c>
      <c r="F31" t="s">
        <v>40</v>
      </c>
      <c r="G31" t="s">
        <v>35</v>
      </c>
      <c r="H31">
        <v>5</v>
      </c>
      <c r="I31">
        <v>25.5</v>
      </c>
      <c r="J31" t="s">
        <v>28</v>
      </c>
      <c r="K31">
        <v>2.5</v>
      </c>
      <c r="L31">
        <v>67</v>
      </c>
      <c r="M31" t="s">
        <v>21</v>
      </c>
      <c r="N31">
        <v>3.4740000000000002</v>
      </c>
      <c r="O31">
        <f t="shared" si="5"/>
        <v>13.896000000000001</v>
      </c>
      <c r="P31" s="6" t="s">
        <v>30</v>
      </c>
      <c r="Q31">
        <v>2.74</v>
      </c>
      <c r="R31">
        <f t="shared" si="2"/>
        <v>1.0960000000000001</v>
      </c>
      <c r="S31" t="s">
        <v>35</v>
      </c>
      <c r="T31">
        <v>0.32700000000000001</v>
      </c>
      <c r="U31">
        <f t="shared" si="3"/>
        <v>13.08</v>
      </c>
      <c r="V31">
        <v>10</v>
      </c>
      <c r="W31">
        <v>0.86599999999999999</v>
      </c>
      <c r="X31">
        <f t="shared" si="4"/>
        <v>27.492063492063494</v>
      </c>
      <c r="Y31" t="s">
        <v>28</v>
      </c>
      <c r="Z31">
        <v>0.59299999999999997</v>
      </c>
      <c r="AA31">
        <f t="shared" si="6"/>
        <v>47.44</v>
      </c>
      <c r="AB31">
        <v>8</v>
      </c>
      <c r="AC31">
        <f>400-O31-R31-U31-X31-AA31</f>
        <v>296.99593650793651</v>
      </c>
      <c r="AD31" s="16">
        <v>10</v>
      </c>
    </row>
    <row r="32" spans="1:30" hidden="1" x14ac:dyDescent="0.25">
      <c r="A32" t="s">
        <v>65</v>
      </c>
      <c r="B32" t="s">
        <v>30</v>
      </c>
      <c r="C32">
        <v>15.14</v>
      </c>
      <c r="D32" t="s">
        <v>55</v>
      </c>
      <c r="E32">
        <v>28.11</v>
      </c>
      <c r="F32" t="s">
        <v>31</v>
      </c>
      <c r="G32" t="s">
        <v>24</v>
      </c>
      <c r="H32">
        <v>35</v>
      </c>
      <c r="I32">
        <v>19.25</v>
      </c>
      <c r="J32" t="s">
        <v>28</v>
      </c>
      <c r="K32">
        <v>2.5</v>
      </c>
      <c r="L32">
        <v>43.25</v>
      </c>
      <c r="M32" s="6" t="s">
        <v>30</v>
      </c>
      <c r="N32">
        <v>1.4039999999999999</v>
      </c>
      <c r="O32">
        <f>N32*0.4</f>
        <v>0.56159999999999999</v>
      </c>
      <c r="P32" s="6" t="s">
        <v>55</v>
      </c>
      <c r="Q32">
        <v>2.4279999999999999</v>
      </c>
      <c r="R32">
        <f t="shared" si="2"/>
        <v>0.97120000000000006</v>
      </c>
      <c r="S32" t="s">
        <v>24</v>
      </c>
      <c r="T32">
        <v>2.7549999999999999</v>
      </c>
      <c r="U32">
        <f t="shared" si="3"/>
        <v>110.2</v>
      </c>
      <c r="V32" s="3">
        <v>11</v>
      </c>
      <c r="W32">
        <v>0.74099999999999999</v>
      </c>
      <c r="X32">
        <f t="shared" si="4"/>
        <v>23.523809523809522</v>
      </c>
      <c r="Y32" t="s">
        <v>28</v>
      </c>
      <c r="Z32">
        <v>0.67200000000000004</v>
      </c>
      <c r="AA32">
        <f t="shared" si="6"/>
        <v>53.760000000000005</v>
      </c>
      <c r="AB32">
        <v>8</v>
      </c>
      <c r="AC32">
        <f>400-O32-R32-U32-X32-AA32</f>
        <v>210.98339047619049</v>
      </c>
      <c r="AD32" s="16">
        <v>11</v>
      </c>
    </row>
    <row r="33" spans="1:30" hidden="1" x14ac:dyDescent="0.25">
      <c r="A33" t="s">
        <v>66</v>
      </c>
      <c r="B33" t="s">
        <v>22</v>
      </c>
      <c r="C33">
        <v>4.5999999999999996</v>
      </c>
      <c r="D33" t="s">
        <v>30</v>
      </c>
      <c r="E33">
        <v>18.399999999999999</v>
      </c>
      <c r="F33" t="s">
        <v>57</v>
      </c>
      <c r="G33" t="s">
        <v>24</v>
      </c>
      <c r="H33">
        <v>50</v>
      </c>
      <c r="I33">
        <v>25.5</v>
      </c>
      <c r="J33" t="s">
        <v>37</v>
      </c>
      <c r="K33">
        <v>1.5</v>
      </c>
      <c r="L33">
        <v>23</v>
      </c>
      <c r="M33" t="s">
        <v>22</v>
      </c>
      <c r="N33">
        <v>0.45600000000000002</v>
      </c>
      <c r="O33">
        <f t="shared" si="5"/>
        <v>1.8240000000000001</v>
      </c>
      <c r="P33" s="6" t="s">
        <v>30</v>
      </c>
      <c r="Q33">
        <v>1.8280000000000001</v>
      </c>
      <c r="R33">
        <f t="shared" si="2"/>
        <v>0.73120000000000007</v>
      </c>
      <c r="S33" t="s">
        <v>24</v>
      </c>
      <c r="T33">
        <v>4.2160000000000002</v>
      </c>
      <c r="U33">
        <f t="shared" si="3"/>
        <v>168.64000000000001</v>
      </c>
      <c r="V33" s="3">
        <v>12</v>
      </c>
      <c r="W33">
        <v>1.052</v>
      </c>
      <c r="X33">
        <f t="shared" si="4"/>
        <v>33.396825396825406</v>
      </c>
      <c r="Y33" t="s">
        <v>37</v>
      </c>
      <c r="Z33">
        <v>0.44800000000000001</v>
      </c>
      <c r="AA33">
        <f t="shared" si="6"/>
        <v>35.840000000000003</v>
      </c>
      <c r="AB33">
        <v>8</v>
      </c>
      <c r="AC33">
        <f>400-O33-R33-U33-X33-AA33</f>
        <v>159.56797460317458</v>
      </c>
      <c r="AD33" s="16">
        <v>12</v>
      </c>
    </row>
    <row r="34" spans="1:30" hidden="1" x14ac:dyDescent="0.25">
      <c r="A34" t="s">
        <v>67</v>
      </c>
      <c r="B34" t="s">
        <v>21</v>
      </c>
      <c r="C34">
        <v>18.11</v>
      </c>
      <c r="D34" t="s">
        <v>27</v>
      </c>
      <c r="E34">
        <v>33.64</v>
      </c>
      <c r="F34" t="s">
        <v>31</v>
      </c>
      <c r="G34" t="s">
        <v>24</v>
      </c>
      <c r="H34">
        <v>25</v>
      </c>
      <c r="I34">
        <v>19.25</v>
      </c>
      <c r="J34" t="s">
        <v>37</v>
      </c>
      <c r="K34">
        <v>4</v>
      </c>
      <c r="L34">
        <v>51.75</v>
      </c>
      <c r="M34" t="s">
        <v>21</v>
      </c>
      <c r="N34">
        <v>2.0529999999999999</v>
      </c>
      <c r="O34">
        <f t="shared" si="5"/>
        <v>8.2119999999999997</v>
      </c>
      <c r="P34" t="s">
        <v>27</v>
      </c>
      <c r="Q34">
        <v>2.258</v>
      </c>
      <c r="R34">
        <f>Q34*0.4*10</f>
        <v>9.032</v>
      </c>
      <c r="S34" t="s">
        <v>24</v>
      </c>
      <c r="T34">
        <v>1.8979999999999999</v>
      </c>
      <c r="U34">
        <f t="shared" si="3"/>
        <v>75.92</v>
      </c>
      <c r="V34" s="3">
        <v>13</v>
      </c>
      <c r="W34">
        <v>0.71499999999999997</v>
      </c>
      <c r="X34">
        <f t="shared" si="4"/>
        <v>22.698412698412696</v>
      </c>
      <c r="Y34" t="s">
        <v>37</v>
      </c>
      <c r="Z34">
        <v>1.0760000000000001</v>
      </c>
      <c r="AA34">
        <f t="shared" si="6"/>
        <v>86.080000000000013</v>
      </c>
      <c r="AB34">
        <v>8</v>
      </c>
      <c r="AC34">
        <f>400-O34-R34-U34-X34-AA34</f>
        <v>198.05758730158729</v>
      </c>
      <c r="AD34" s="16">
        <v>13</v>
      </c>
    </row>
    <row r="35" spans="1:30" hidden="1" x14ac:dyDescent="0.25">
      <c r="A35" t="s">
        <v>68</v>
      </c>
      <c r="B35" t="s">
        <v>21</v>
      </c>
      <c r="C35">
        <v>13.1</v>
      </c>
      <c r="D35" t="s">
        <v>30</v>
      </c>
      <c r="E35">
        <v>52.4</v>
      </c>
      <c r="F35" t="s">
        <v>57</v>
      </c>
      <c r="G35" t="s">
        <v>24</v>
      </c>
      <c r="H35">
        <v>5</v>
      </c>
      <c r="I35">
        <v>25.5</v>
      </c>
      <c r="J35" t="s">
        <v>37</v>
      </c>
      <c r="K35">
        <v>4</v>
      </c>
      <c r="L35">
        <v>65.5</v>
      </c>
      <c r="M35" t="s">
        <v>21</v>
      </c>
      <c r="N35">
        <v>1.3859999999999999</v>
      </c>
      <c r="O35">
        <f t="shared" si="5"/>
        <v>5.5440000000000005</v>
      </c>
      <c r="P35" s="6" t="s">
        <v>30</v>
      </c>
      <c r="Q35">
        <v>4.3719999999999999</v>
      </c>
      <c r="R35">
        <f t="shared" si="2"/>
        <v>1.7488000000000001</v>
      </c>
      <c r="S35" t="s">
        <v>24</v>
      </c>
      <c r="T35">
        <v>0.35399999999999998</v>
      </c>
      <c r="U35">
        <f t="shared" si="3"/>
        <v>14.16</v>
      </c>
      <c r="V35" s="3">
        <v>14</v>
      </c>
      <c r="W35">
        <v>0.88400000000000001</v>
      </c>
      <c r="X35">
        <f t="shared" si="4"/>
        <v>28.063492063492063</v>
      </c>
      <c r="Y35" t="s">
        <v>37</v>
      </c>
      <c r="Z35">
        <v>1.004</v>
      </c>
      <c r="AA35">
        <f t="shared" si="6"/>
        <v>80.320000000000007</v>
      </c>
      <c r="AB35">
        <v>8</v>
      </c>
      <c r="AC35">
        <f>400-O35-R35-U35-X35-AA35</f>
        <v>270.16370793650793</v>
      </c>
      <c r="AD35" s="16">
        <v>14</v>
      </c>
    </row>
    <row r="36" spans="1:30" hidden="1" x14ac:dyDescent="0.25">
      <c r="A36" t="s">
        <v>69</v>
      </c>
      <c r="B36" t="s">
        <v>22</v>
      </c>
      <c r="C36">
        <v>6.1</v>
      </c>
      <c r="D36" t="s">
        <v>30</v>
      </c>
      <c r="E36">
        <v>24.4</v>
      </c>
      <c r="F36" t="s">
        <v>57</v>
      </c>
      <c r="G36" t="s">
        <v>35</v>
      </c>
      <c r="H36">
        <v>35</v>
      </c>
      <c r="I36">
        <v>32</v>
      </c>
      <c r="J36" t="s">
        <v>37</v>
      </c>
      <c r="K36">
        <v>2.5</v>
      </c>
      <c r="L36">
        <v>30.5</v>
      </c>
      <c r="M36" t="s">
        <v>22</v>
      </c>
      <c r="N36">
        <v>0.61499999999999999</v>
      </c>
      <c r="O36">
        <f t="shared" si="5"/>
        <v>2.46</v>
      </c>
      <c r="P36" s="6" t="s">
        <v>30</v>
      </c>
      <c r="Q36">
        <v>2.4620000000000002</v>
      </c>
      <c r="R36">
        <f t="shared" si="2"/>
        <v>0.98480000000000012</v>
      </c>
      <c r="S36" t="s">
        <v>35</v>
      </c>
      <c r="T36">
        <v>2.823</v>
      </c>
      <c r="U36">
        <f t="shared" si="3"/>
        <v>112.91999999999999</v>
      </c>
      <c r="V36" s="4">
        <v>15</v>
      </c>
      <c r="W36">
        <v>1.341</v>
      </c>
      <c r="X36">
        <f t="shared" si="4"/>
        <v>42.571428571428569</v>
      </c>
      <c r="Y36" t="s">
        <v>37</v>
      </c>
      <c r="Z36">
        <v>0.75900000000000001</v>
      </c>
      <c r="AA36">
        <f t="shared" si="6"/>
        <v>60.720000000000006</v>
      </c>
      <c r="AB36">
        <v>8</v>
      </c>
      <c r="AC36">
        <f>400-O36-R36-U36-X36-AA36</f>
        <v>180.3437714285715</v>
      </c>
      <c r="AD36" s="16">
        <v>15</v>
      </c>
    </row>
    <row r="37" spans="1:30" hidden="1" x14ac:dyDescent="0.25">
      <c r="A37" t="s">
        <v>70</v>
      </c>
      <c r="B37" t="s">
        <v>22</v>
      </c>
      <c r="C37">
        <v>18.850000000000001</v>
      </c>
      <c r="D37" t="s">
        <v>22</v>
      </c>
      <c r="E37">
        <v>10.15</v>
      </c>
      <c r="F37" t="s">
        <v>33</v>
      </c>
      <c r="G37" t="s">
        <v>35</v>
      </c>
      <c r="H37">
        <v>35</v>
      </c>
      <c r="I37">
        <v>32</v>
      </c>
      <c r="J37" t="s">
        <v>37</v>
      </c>
      <c r="K37">
        <v>4</v>
      </c>
      <c r="L37">
        <v>29</v>
      </c>
      <c r="M37" t="s">
        <v>22</v>
      </c>
      <c r="N37">
        <v>1.831</v>
      </c>
      <c r="O37">
        <f t="shared" si="5"/>
        <v>7.3240000000000007</v>
      </c>
      <c r="P37" t="s">
        <v>22</v>
      </c>
      <c r="Q37">
        <v>0.98599999999999999</v>
      </c>
      <c r="R37">
        <f>Q37*0.4*10</f>
        <v>3.9440000000000004</v>
      </c>
      <c r="S37" t="s">
        <v>35</v>
      </c>
      <c r="T37">
        <v>2.72</v>
      </c>
      <c r="U37">
        <f t="shared" si="3"/>
        <v>108.80000000000001</v>
      </c>
      <c r="V37">
        <v>16</v>
      </c>
      <c r="W37">
        <v>1.292</v>
      </c>
      <c r="X37">
        <f t="shared" si="4"/>
        <v>41.015873015873019</v>
      </c>
      <c r="Y37" t="s">
        <v>37</v>
      </c>
      <c r="Z37">
        <v>1.17</v>
      </c>
      <c r="AA37">
        <f t="shared" si="6"/>
        <v>93.6</v>
      </c>
      <c r="AB37">
        <v>8</v>
      </c>
      <c r="AC37">
        <f>400-O37-R37-U37-X37-AA37</f>
        <v>145.31612698412695</v>
      </c>
      <c r="AD37" s="16">
        <v>16</v>
      </c>
    </row>
    <row r="38" spans="1:30" hidden="1" x14ac:dyDescent="0.25">
      <c r="A38" t="s">
        <v>71</v>
      </c>
      <c r="B38" t="s">
        <v>22</v>
      </c>
      <c r="C38">
        <v>38.35</v>
      </c>
      <c r="D38" t="s">
        <v>22</v>
      </c>
      <c r="E38">
        <v>20.65</v>
      </c>
      <c r="F38" t="s">
        <v>33</v>
      </c>
      <c r="G38" t="s">
        <v>24</v>
      </c>
      <c r="H38">
        <v>5</v>
      </c>
      <c r="I38">
        <v>32</v>
      </c>
      <c r="J38" t="s">
        <v>28</v>
      </c>
      <c r="K38">
        <v>4</v>
      </c>
      <c r="L38">
        <v>59</v>
      </c>
      <c r="M38" t="s">
        <v>22</v>
      </c>
      <c r="N38">
        <v>3.48</v>
      </c>
      <c r="O38">
        <f t="shared" si="5"/>
        <v>13.920000000000002</v>
      </c>
      <c r="P38" t="s">
        <v>22</v>
      </c>
      <c r="Q38">
        <v>1.8740000000000001</v>
      </c>
      <c r="R38">
        <f t="shared" ref="R38:R39" si="8">Q38*0.4*10</f>
        <v>7.4960000000000004</v>
      </c>
      <c r="S38" t="s">
        <v>24</v>
      </c>
      <c r="T38">
        <v>0.38500000000000001</v>
      </c>
      <c r="U38">
        <f t="shared" si="3"/>
        <v>15.400000000000002</v>
      </c>
      <c r="V38" s="3">
        <v>17</v>
      </c>
      <c r="W38">
        <v>1.2070000000000001</v>
      </c>
      <c r="X38">
        <f t="shared" si="4"/>
        <v>38.317460317460323</v>
      </c>
      <c r="Y38" t="s">
        <v>28</v>
      </c>
      <c r="Z38">
        <v>1.054</v>
      </c>
      <c r="AA38">
        <f t="shared" si="6"/>
        <v>84.320000000000007</v>
      </c>
      <c r="AB38">
        <v>8</v>
      </c>
      <c r="AC38">
        <f>400-O38-R38-U38-X38-AA38</f>
        <v>240.54653968253973</v>
      </c>
      <c r="AD38" s="16">
        <v>17</v>
      </c>
    </row>
    <row r="39" spans="1:30" hidden="1" x14ac:dyDescent="0.25">
      <c r="A39" t="s">
        <v>72</v>
      </c>
      <c r="B39" t="s">
        <v>22</v>
      </c>
      <c r="C39">
        <v>14.62</v>
      </c>
      <c r="D39" t="s">
        <v>22</v>
      </c>
      <c r="E39">
        <v>14.62</v>
      </c>
      <c r="F39" t="s">
        <v>40</v>
      </c>
      <c r="G39" t="s">
        <v>24</v>
      </c>
      <c r="H39">
        <v>50</v>
      </c>
      <c r="I39">
        <v>19.25</v>
      </c>
      <c r="J39" t="s">
        <v>37</v>
      </c>
      <c r="K39">
        <v>1.5</v>
      </c>
      <c r="L39">
        <v>29.25</v>
      </c>
      <c r="M39" t="s">
        <v>22</v>
      </c>
      <c r="N39">
        <v>1.3879999999999999</v>
      </c>
      <c r="O39">
        <f t="shared" si="5"/>
        <v>5.5520000000000005</v>
      </c>
      <c r="P39" t="s">
        <v>22</v>
      </c>
      <c r="Q39">
        <v>1.3879999999999999</v>
      </c>
      <c r="R39">
        <f t="shared" si="8"/>
        <v>5.5520000000000005</v>
      </c>
      <c r="S39" t="s">
        <v>24</v>
      </c>
      <c r="T39">
        <v>4.0339999999999998</v>
      </c>
      <c r="U39">
        <f t="shared" si="3"/>
        <v>161.36000000000001</v>
      </c>
      <c r="V39" s="3">
        <v>18</v>
      </c>
      <c r="W39">
        <v>0.76</v>
      </c>
      <c r="X39">
        <f t="shared" si="4"/>
        <v>24.126984126984134</v>
      </c>
      <c r="Y39" t="s">
        <v>37</v>
      </c>
      <c r="Z39">
        <v>0.42899999999999999</v>
      </c>
      <c r="AA39">
        <f t="shared" si="6"/>
        <v>34.32</v>
      </c>
      <c r="AB39">
        <v>8</v>
      </c>
      <c r="AC39">
        <f>400-O39-R39-U39-X39-AA39</f>
        <v>169.08901587301582</v>
      </c>
      <c r="AD39" s="16">
        <v>18</v>
      </c>
    </row>
    <row r="40" spans="1:30" hidden="1" x14ac:dyDescent="0.25">
      <c r="A40" t="s">
        <v>73</v>
      </c>
      <c r="B40" t="s">
        <v>22</v>
      </c>
      <c r="C40">
        <v>18.11</v>
      </c>
      <c r="D40" t="s">
        <v>30</v>
      </c>
      <c r="E40">
        <v>33.64</v>
      </c>
      <c r="F40" t="s">
        <v>31</v>
      </c>
      <c r="G40" t="s">
        <v>24</v>
      </c>
      <c r="H40">
        <v>25</v>
      </c>
      <c r="I40">
        <v>19.25</v>
      </c>
      <c r="J40" t="s">
        <v>25</v>
      </c>
      <c r="K40">
        <v>4</v>
      </c>
      <c r="L40">
        <v>51.75</v>
      </c>
      <c r="M40" t="s">
        <v>22</v>
      </c>
      <c r="N40">
        <v>1.5780000000000001</v>
      </c>
      <c r="O40">
        <f t="shared" si="5"/>
        <v>6.3120000000000012</v>
      </c>
      <c r="P40" s="6" t="s">
        <v>30</v>
      </c>
      <c r="Q40">
        <v>2.9340000000000002</v>
      </c>
      <c r="R40">
        <f t="shared" si="2"/>
        <v>1.1736000000000002</v>
      </c>
      <c r="S40" t="s">
        <v>24</v>
      </c>
      <c r="T40">
        <v>1.851</v>
      </c>
      <c r="U40">
        <f t="shared" si="3"/>
        <v>74.040000000000006</v>
      </c>
      <c r="V40" s="3">
        <v>19</v>
      </c>
      <c r="W40">
        <v>0.69699999999999995</v>
      </c>
      <c r="X40">
        <f t="shared" si="4"/>
        <v>22.126984126984127</v>
      </c>
      <c r="Y40" t="s">
        <v>25</v>
      </c>
      <c r="Z40">
        <v>0.94</v>
      </c>
      <c r="AA40">
        <f t="shared" si="6"/>
        <v>75.2</v>
      </c>
      <c r="AB40">
        <v>8</v>
      </c>
      <c r="AC40">
        <f>400-O40-R40-U40-X40-AA40</f>
        <v>221.14741587301586</v>
      </c>
      <c r="AD40" s="16">
        <v>19</v>
      </c>
    </row>
    <row r="41" spans="1:30" x14ac:dyDescent="0.25">
      <c r="A41" t="s">
        <v>74</v>
      </c>
      <c r="B41" t="s">
        <v>21</v>
      </c>
      <c r="C41">
        <v>36.08</v>
      </c>
      <c r="D41" t="s">
        <v>22</v>
      </c>
      <c r="E41">
        <v>19.420000000000002</v>
      </c>
      <c r="F41" t="s">
        <v>33</v>
      </c>
      <c r="G41" t="s">
        <v>35</v>
      </c>
      <c r="H41">
        <v>15</v>
      </c>
      <c r="I41">
        <v>25.5</v>
      </c>
      <c r="J41" t="s">
        <v>25</v>
      </c>
      <c r="K41">
        <v>4</v>
      </c>
      <c r="L41">
        <v>55.5</v>
      </c>
      <c r="M41" t="s">
        <v>21</v>
      </c>
      <c r="N41">
        <v>3.7149999999999999</v>
      </c>
      <c r="O41">
        <f t="shared" si="5"/>
        <v>14.86</v>
      </c>
      <c r="P41" t="s">
        <v>22</v>
      </c>
      <c r="Q41">
        <v>1.5760000000000001</v>
      </c>
      <c r="R41">
        <f>Q41*0.4*10</f>
        <v>6.3040000000000003</v>
      </c>
      <c r="S41" t="s">
        <v>35</v>
      </c>
      <c r="T41">
        <v>0.97399999999999998</v>
      </c>
      <c r="U41">
        <f t="shared" si="3"/>
        <v>38.96</v>
      </c>
      <c r="V41">
        <v>20</v>
      </c>
      <c r="W41">
        <v>0.86</v>
      </c>
      <c r="X41">
        <f t="shared" si="4"/>
        <v>27.301587301587308</v>
      </c>
      <c r="Y41" t="s">
        <v>25</v>
      </c>
      <c r="Z41">
        <v>0.876</v>
      </c>
      <c r="AA41">
        <f t="shared" si="6"/>
        <v>70.080000000000013</v>
      </c>
      <c r="AB41">
        <v>8</v>
      </c>
      <c r="AC41">
        <f>400-O41-R41-U41-X41-AA41</f>
        <v>242.49441269841273</v>
      </c>
      <c r="AD41" s="16"/>
    </row>
    <row r="42" spans="1:30" x14ac:dyDescent="0.25">
      <c r="A42" t="s">
        <v>92</v>
      </c>
      <c r="AA42">
        <f t="shared" si="6"/>
        <v>0</v>
      </c>
      <c r="AC42">
        <f>400-O42-R42-U42-X42-AA42</f>
        <v>400</v>
      </c>
      <c r="AD42" s="16"/>
    </row>
    <row r="43" spans="1:30" x14ac:dyDescent="0.25">
      <c r="A43" s="14" t="s">
        <v>46</v>
      </c>
      <c r="B43" s="14" t="s">
        <v>30</v>
      </c>
      <c r="C43" s="14">
        <v>35.200000000000003</v>
      </c>
      <c r="D43" s="14" t="s">
        <v>30</v>
      </c>
      <c r="E43" s="14">
        <v>8.8000000000000007</v>
      </c>
      <c r="F43" s="14" t="s">
        <v>23</v>
      </c>
      <c r="G43" s="14" t="s">
        <v>35</v>
      </c>
      <c r="H43" s="14">
        <v>15</v>
      </c>
      <c r="I43" s="14">
        <v>38.5</v>
      </c>
      <c r="J43" s="14" t="s">
        <v>28</v>
      </c>
      <c r="K43" s="14">
        <v>2.5</v>
      </c>
      <c r="L43" s="14">
        <v>44</v>
      </c>
      <c r="M43" s="14" t="s">
        <v>30</v>
      </c>
      <c r="N43" s="14">
        <v>3.5539999999999998</v>
      </c>
      <c r="O43" s="14">
        <f t="shared" ref="O43:O44" si="9">N43*0.4</f>
        <v>1.4216</v>
      </c>
      <c r="P43" s="14" t="s">
        <v>30</v>
      </c>
      <c r="Q43" s="14">
        <v>0.88800000000000001</v>
      </c>
      <c r="R43" s="14">
        <f t="shared" ref="R43" si="10">Q43*0.4</f>
        <v>0.35520000000000002</v>
      </c>
      <c r="S43" s="14" t="s">
        <v>35</v>
      </c>
      <c r="T43" s="14">
        <v>1.2110000000000001</v>
      </c>
      <c r="U43" s="14">
        <f t="shared" ref="U43:U44" si="11">(T43*0.4)/10*1000</f>
        <v>48.440000000000005</v>
      </c>
      <c r="V43" s="14"/>
      <c r="W43" s="14">
        <v>1.615</v>
      </c>
      <c r="X43" s="14">
        <f>(W43*0.4)/12.6*1000</f>
        <v>51.269841269841272</v>
      </c>
      <c r="Y43" s="14" t="s">
        <v>28</v>
      </c>
      <c r="Z43" s="14">
        <v>0.73199999999999998</v>
      </c>
      <c r="AA43" s="14">
        <f t="shared" si="6"/>
        <v>58.56</v>
      </c>
      <c r="AB43" s="14">
        <v>8</v>
      </c>
      <c r="AC43" s="14">
        <f>400-O43-R43-U43-X43-AA43</f>
        <v>239.9533587301587</v>
      </c>
      <c r="AD43" s="16">
        <v>21</v>
      </c>
    </row>
    <row r="44" spans="1:30" x14ac:dyDescent="0.25">
      <c r="A44" s="14" t="s">
        <v>47</v>
      </c>
      <c r="B44" s="14" t="s">
        <v>30</v>
      </c>
      <c r="C44" s="14">
        <v>17.149999999999999</v>
      </c>
      <c r="D44" s="14" t="s">
        <v>27</v>
      </c>
      <c r="E44" s="14">
        <v>31.85</v>
      </c>
      <c r="F44" s="14" t="s">
        <v>31</v>
      </c>
      <c r="G44" s="14" t="s">
        <v>24</v>
      </c>
      <c r="H44" s="14">
        <v>15</v>
      </c>
      <c r="I44" s="14">
        <v>32</v>
      </c>
      <c r="J44" s="14" t="s">
        <v>28</v>
      </c>
      <c r="K44" s="14">
        <v>4</v>
      </c>
      <c r="L44" s="14">
        <v>49</v>
      </c>
      <c r="M44" s="14" t="s">
        <v>30</v>
      </c>
      <c r="N44" s="14">
        <v>1.744</v>
      </c>
      <c r="O44" s="14">
        <f t="shared" si="9"/>
        <v>0.6976</v>
      </c>
      <c r="P44" s="14" t="s">
        <v>27</v>
      </c>
      <c r="Q44" s="14">
        <v>2.4300000000000002</v>
      </c>
      <c r="R44" s="14">
        <f>Q44*0.4*10</f>
        <v>9.7200000000000006</v>
      </c>
      <c r="S44" s="14" t="s">
        <v>24</v>
      </c>
      <c r="T44" s="14">
        <v>1.2949999999999999</v>
      </c>
      <c r="U44" s="14">
        <f t="shared" si="11"/>
        <v>51.8</v>
      </c>
      <c r="V44" s="14"/>
      <c r="W44" s="14">
        <v>1.3520000000000001</v>
      </c>
      <c r="X44" s="14">
        <f t="shared" ref="X44:X47" si="12">(W44*0.4)/12.6*1000</f>
        <v>42.920634920634932</v>
      </c>
      <c r="Y44" s="14" t="s">
        <v>28</v>
      </c>
      <c r="Z44" s="14">
        <v>1.18</v>
      </c>
      <c r="AA44" s="14">
        <f>Z44*0.4*1000/5</f>
        <v>94.4</v>
      </c>
      <c r="AB44" s="14">
        <v>8</v>
      </c>
      <c r="AC44" s="14">
        <f>400-O44-R44-U44-X44-AA44</f>
        <v>200.46176507936499</v>
      </c>
      <c r="AD44" s="16">
        <v>22</v>
      </c>
    </row>
    <row r="45" spans="1:30" x14ac:dyDescent="0.25">
      <c r="A45" s="14">
        <v>24</v>
      </c>
      <c r="B45" s="14" t="s">
        <v>93</v>
      </c>
      <c r="C45" s="14">
        <v>25</v>
      </c>
      <c r="D45" s="14" t="s">
        <v>55</v>
      </c>
      <c r="E45" s="14">
        <v>25</v>
      </c>
      <c r="F45" s="14"/>
      <c r="G45" s="14" t="s">
        <v>35</v>
      </c>
      <c r="H45" s="14">
        <v>10</v>
      </c>
      <c r="I45" s="14">
        <v>38.5</v>
      </c>
      <c r="J45" s="14" t="s">
        <v>25</v>
      </c>
      <c r="K45" s="14">
        <v>50</v>
      </c>
      <c r="L45" s="14"/>
      <c r="M45" s="15" t="s">
        <v>93</v>
      </c>
      <c r="N45" s="14"/>
      <c r="O45" s="14">
        <v>0.83799999999999997</v>
      </c>
      <c r="P45" s="15" t="s">
        <v>55</v>
      </c>
      <c r="Q45" s="14"/>
      <c r="R45" s="14">
        <v>1</v>
      </c>
      <c r="S45" s="15" t="s">
        <v>35</v>
      </c>
      <c r="T45" s="14"/>
      <c r="U45" s="14">
        <v>38.840000000000003</v>
      </c>
      <c r="V45" s="14"/>
      <c r="W45" s="14">
        <v>1.9430000000000001</v>
      </c>
      <c r="X45" s="14">
        <f t="shared" si="12"/>
        <v>61.682539682539691</v>
      </c>
      <c r="Y45" s="14" t="s">
        <v>25</v>
      </c>
      <c r="Z45" s="14">
        <v>0.49099999999999999</v>
      </c>
      <c r="AA45" s="14">
        <f t="shared" ref="AA45:AA47" si="13">Z45*0.4*1000/5</f>
        <v>39.28</v>
      </c>
      <c r="AB45" s="14">
        <v>8</v>
      </c>
      <c r="AC45" s="14">
        <f>400-O45-R45-U45-X45-AA45</f>
        <v>258.35946031746028</v>
      </c>
      <c r="AD45" s="16">
        <v>23</v>
      </c>
    </row>
    <row r="46" spans="1:30" x14ac:dyDescent="0.25">
      <c r="A46" s="14">
        <v>25</v>
      </c>
      <c r="B46" s="14" t="s">
        <v>55</v>
      </c>
      <c r="C46" s="14">
        <v>33</v>
      </c>
      <c r="D46" s="14" t="s">
        <v>30</v>
      </c>
      <c r="E46" s="14">
        <v>33</v>
      </c>
      <c r="F46" s="14"/>
      <c r="G46" s="14" t="s">
        <v>35</v>
      </c>
      <c r="H46" s="14">
        <v>30</v>
      </c>
      <c r="I46" s="14">
        <v>0</v>
      </c>
      <c r="J46" s="14" t="s">
        <v>25</v>
      </c>
      <c r="K46" s="14">
        <v>66</v>
      </c>
      <c r="L46" s="14"/>
      <c r="M46" s="15" t="s">
        <v>55</v>
      </c>
      <c r="N46" s="14"/>
      <c r="O46" s="14">
        <v>0.998</v>
      </c>
      <c r="P46" s="15" t="s">
        <v>30</v>
      </c>
      <c r="Q46" s="14"/>
      <c r="R46" s="14">
        <v>0.92479999999999996</v>
      </c>
      <c r="S46" s="15" t="s">
        <v>35</v>
      </c>
      <c r="T46" s="14"/>
      <c r="U46" s="14">
        <v>88.08</v>
      </c>
      <c r="V46" s="14"/>
      <c r="W46" s="14">
        <v>0</v>
      </c>
      <c r="X46" s="14">
        <f t="shared" si="12"/>
        <v>0</v>
      </c>
      <c r="Y46" s="14" t="s">
        <v>25</v>
      </c>
      <c r="Z46" s="14">
        <v>0.99</v>
      </c>
      <c r="AA46" s="14">
        <f t="shared" si="13"/>
        <v>79.2</v>
      </c>
      <c r="AB46" s="14">
        <v>8</v>
      </c>
      <c r="AC46" s="14">
        <f>400-O46-R46-U46-X46-AA46</f>
        <v>230.79720000000003</v>
      </c>
      <c r="AD46" s="16">
        <v>24</v>
      </c>
    </row>
    <row r="47" spans="1:30" x14ac:dyDescent="0.25">
      <c r="A47" s="14">
        <v>26</v>
      </c>
      <c r="B47" s="14" t="s">
        <v>30</v>
      </c>
      <c r="C47" s="14">
        <v>25</v>
      </c>
      <c r="D47" s="14" t="s">
        <v>55</v>
      </c>
      <c r="E47" s="14">
        <v>25</v>
      </c>
      <c r="F47" s="14"/>
      <c r="G47" s="14" t="s">
        <v>35</v>
      </c>
      <c r="H47" s="14">
        <v>10</v>
      </c>
      <c r="I47" s="14">
        <v>38.5</v>
      </c>
      <c r="J47" s="14" t="s">
        <v>25</v>
      </c>
      <c r="K47" s="14">
        <v>50</v>
      </c>
      <c r="L47" s="14"/>
      <c r="M47" s="15" t="s">
        <v>30</v>
      </c>
      <c r="N47" s="14"/>
      <c r="O47" s="14">
        <v>0.90200000000000002</v>
      </c>
      <c r="P47" s="15" t="s">
        <v>55</v>
      </c>
      <c r="Q47" s="14"/>
      <c r="R47" s="14">
        <v>0.97319999999999995</v>
      </c>
      <c r="S47" s="15" t="s">
        <v>35</v>
      </c>
      <c r="T47" s="14"/>
      <c r="U47" s="14">
        <v>37.799999999999997</v>
      </c>
      <c r="V47" s="14"/>
      <c r="W47" s="14">
        <v>1.89</v>
      </c>
      <c r="X47" s="14">
        <f t="shared" si="12"/>
        <v>60.000000000000007</v>
      </c>
      <c r="Y47" s="14" t="s">
        <v>25</v>
      </c>
      <c r="Z47" s="14">
        <v>0.47799999999999998</v>
      </c>
      <c r="AA47" s="14">
        <f t="shared" si="13"/>
        <v>38.24</v>
      </c>
      <c r="AB47" s="14">
        <v>8</v>
      </c>
      <c r="AC47" s="14">
        <f>400-O47-R47-U47-X47-AA47</f>
        <v>262.08479999999997</v>
      </c>
      <c r="AD47" s="16">
        <v>25</v>
      </c>
    </row>
    <row r="54" spans="1:31" x14ac:dyDescent="0.25">
      <c r="A54" s="7">
        <v>24</v>
      </c>
      <c r="B54" s="7" t="s">
        <v>93</v>
      </c>
      <c r="C54" s="7">
        <v>25</v>
      </c>
      <c r="D54" s="8">
        <v>2.0950000000000002</v>
      </c>
      <c r="E54" s="9">
        <v>0.83799999999999997</v>
      </c>
      <c r="F54" s="9">
        <v>0.83799999999999997</v>
      </c>
      <c r="G54" s="7">
        <v>24</v>
      </c>
      <c r="H54" s="7" t="s">
        <v>55</v>
      </c>
      <c r="I54" s="7">
        <v>25</v>
      </c>
      <c r="J54" s="8">
        <v>2.5</v>
      </c>
      <c r="K54" s="9">
        <v>1</v>
      </c>
      <c r="L54" s="9">
        <v>1</v>
      </c>
      <c r="M54" s="7">
        <v>10</v>
      </c>
      <c r="N54" s="8">
        <v>0.97099999999999997</v>
      </c>
      <c r="O54" s="9">
        <v>0.38840000000000002</v>
      </c>
      <c r="P54" s="7" t="s">
        <v>35</v>
      </c>
      <c r="Q54" s="9">
        <v>38.840000000000003</v>
      </c>
      <c r="R54" s="10">
        <v>24</v>
      </c>
      <c r="S54" s="7">
        <v>38.5</v>
      </c>
      <c r="T54" s="8">
        <v>1.9430000000000001</v>
      </c>
      <c r="U54" s="9">
        <v>0.7772</v>
      </c>
      <c r="V54" s="9">
        <v>77.72</v>
      </c>
      <c r="W54" s="7">
        <v>1.5</v>
      </c>
      <c r="X54" s="8">
        <v>0.49099999999999999</v>
      </c>
      <c r="Y54" s="9">
        <v>0.19639999999999999</v>
      </c>
      <c r="Z54" s="9">
        <v>9.82</v>
      </c>
      <c r="AA54" s="7">
        <v>50</v>
      </c>
      <c r="AB54" s="7">
        <v>8</v>
      </c>
      <c r="AC54" s="7">
        <v>271.78199999999998</v>
      </c>
      <c r="AD54" s="7">
        <v>24</v>
      </c>
      <c r="AE54" s="7"/>
    </row>
    <row r="55" spans="1:31" x14ac:dyDescent="0.25">
      <c r="A55" s="7">
        <v>25</v>
      </c>
      <c r="B55" s="7" t="s">
        <v>55</v>
      </c>
      <c r="C55" s="7">
        <v>33</v>
      </c>
      <c r="D55" s="8">
        <v>2.4950000000000001</v>
      </c>
      <c r="E55" s="9">
        <v>0.998</v>
      </c>
      <c r="F55" s="9">
        <v>0.998</v>
      </c>
      <c r="G55" s="7">
        <v>25</v>
      </c>
      <c r="H55" s="7" t="s">
        <v>30</v>
      </c>
      <c r="I55" s="7">
        <v>33</v>
      </c>
      <c r="J55" s="8">
        <v>2.3119999999999998</v>
      </c>
      <c r="K55" s="9">
        <v>0.92479999999999996</v>
      </c>
      <c r="L55" s="9">
        <v>0.92479999999999996</v>
      </c>
      <c r="M55" s="7">
        <v>30</v>
      </c>
      <c r="N55" s="8">
        <v>2.202</v>
      </c>
      <c r="O55" s="9">
        <v>0.88080000000000003</v>
      </c>
      <c r="P55" s="7" t="s">
        <v>35</v>
      </c>
      <c r="Q55" s="9">
        <v>88.08</v>
      </c>
      <c r="R55" s="10">
        <v>25</v>
      </c>
      <c r="S55" s="7">
        <v>0</v>
      </c>
      <c r="T55" s="8">
        <v>0</v>
      </c>
      <c r="U55" s="9">
        <v>0</v>
      </c>
      <c r="V55" s="9">
        <v>0</v>
      </c>
      <c r="W55" s="7">
        <v>4</v>
      </c>
      <c r="X55" s="8">
        <v>0.99</v>
      </c>
      <c r="Y55" s="9">
        <v>0.39600000000000002</v>
      </c>
      <c r="Z55" s="9">
        <v>19.8</v>
      </c>
      <c r="AA55" s="7">
        <v>66</v>
      </c>
      <c r="AB55" s="7">
        <v>8</v>
      </c>
      <c r="AC55" s="7">
        <v>290.19720000000001</v>
      </c>
      <c r="AD55" s="7">
        <v>25</v>
      </c>
      <c r="AE55" s="7"/>
    </row>
    <row r="56" spans="1:31" x14ac:dyDescent="0.25">
      <c r="A56" s="7">
        <v>26</v>
      </c>
      <c r="B56" s="7" t="s">
        <v>30</v>
      </c>
      <c r="C56" s="7">
        <v>25</v>
      </c>
      <c r="D56" s="8">
        <v>2.2549999999999999</v>
      </c>
      <c r="E56" s="9">
        <v>0.90200000000000002</v>
      </c>
      <c r="F56" s="9">
        <v>0.90200000000000002</v>
      </c>
      <c r="G56" s="7">
        <v>26</v>
      </c>
      <c r="H56" s="7" t="s">
        <v>55</v>
      </c>
      <c r="I56" s="7">
        <v>25</v>
      </c>
      <c r="J56" s="8">
        <v>2.4329999999999998</v>
      </c>
      <c r="K56" s="9">
        <v>0.97319999999999995</v>
      </c>
      <c r="L56" s="9">
        <v>0.97319999999999995</v>
      </c>
      <c r="M56" s="7">
        <v>10</v>
      </c>
      <c r="N56" s="8">
        <v>0.94499999999999995</v>
      </c>
      <c r="O56" s="9">
        <v>0.378</v>
      </c>
      <c r="P56" s="7" t="s">
        <v>35</v>
      </c>
      <c r="Q56" s="9">
        <v>37.799999999999997</v>
      </c>
      <c r="R56" s="10">
        <v>26</v>
      </c>
      <c r="S56" s="7">
        <v>38.5</v>
      </c>
      <c r="T56" s="8">
        <v>1.89</v>
      </c>
      <c r="U56" s="9">
        <v>0.75600000000000001</v>
      </c>
      <c r="V56" s="9">
        <v>75.599999999999994</v>
      </c>
      <c r="W56" s="7">
        <v>1.5</v>
      </c>
      <c r="X56" s="8">
        <v>0.47799999999999998</v>
      </c>
      <c r="Y56" s="9">
        <v>0.19120000000000001</v>
      </c>
      <c r="Z56" s="9">
        <v>9.56</v>
      </c>
      <c r="AA56" s="7">
        <v>50</v>
      </c>
      <c r="AB56" s="7">
        <v>8</v>
      </c>
      <c r="AC56" s="7">
        <v>275.16480000000001</v>
      </c>
      <c r="AD56" s="7">
        <v>26</v>
      </c>
      <c r="AE56" s="7"/>
    </row>
    <row r="57" spans="1:31" x14ac:dyDescent="0.25">
      <c r="A57" s="11" t="s">
        <v>94</v>
      </c>
      <c r="B57" s="11" t="s">
        <v>1</v>
      </c>
      <c r="C57" s="11" t="s">
        <v>2</v>
      </c>
      <c r="D57" s="12" t="s">
        <v>12</v>
      </c>
      <c r="E57" s="13" t="s">
        <v>95</v>
      </c>
      <c r="F57" s="13" t="s">
        <v>96</v>
      </c>
      <c r="G57" s="7"/>
      <c r="H57" s="11" t="s">
        <v>3</v>
      </c>
      <c r="I57" s="11" t="s">
        <v>4</v>
      </c>
      <c r="J57" s="12" t="s">
        <v>13</v>
      </c>
      <c r="K57" s="13" t="s">
        <v>95</v>
      </c>
      <c r="L57" s="13" t="s">
        <v>96</v>
      </c>
      <c r="M57" s="11" t="s">
        <v>7</v>
      </c>
      <c r="N57" s="12" t="s">
        <v>14</v>
      </c>
      <c r="O57" s="13" t="s">
        <v>97</v>
      </c>
      <c r="P57" s="11" t="s">
        <v>6</v>
      </c>
      <c r="Q57" s="13" t="s">
        <v>98</v>
      </c>
      <c r="R57" s="13"/>
      <c r="S57" s="11" t="s">
        <v>8</v>
      </c>
      <c r="T57" s="12" t="s">
        <v>16</v>
      </c>
      <c r="U57" s="13" t="s">
        <v>97</v>
      </c>
      <c r="V57" s="13" t="s">
        <v>98</v>
      </c>
      <c r="W57" s="11" t="s">
        <v>10</v>
      </c>
      <c r="X57" s="12" t="s">
        <v>18</v>
      </c>
      <c r="Y57" s="13" t="s">
        <v>97</v>
      </c>
      <c r="Z57" s="13" t="s">
        <v>99</v>
      </c>
      <c r="AA57" s="11" t="s">
        <v>11</v>
      </c>
      <c r="AB57" s="11" t="s">
        <v>19</v>
      </c>
      <c r="AC57" s="7" t="s">
        <v>100</v>
      </c>
      <c r="AD57" s="7"/>
      <c r="AE57" s="7"/>
    </row>
    <row r="66" spans="13:15" x14ac:dyDescent="0.25">
      <c r="M66">
        <v>19600</v>
      </c>
      <c r="O66">
        <f>M66*12</f>
        <v>235200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R1" sqref="R1"/>
    </sheetView>
  </sheetViews>
  <sheetFormatPr defaultColWidth="9" defaultRowHeight="14" x14ac:dyDescent="0.25"/>
  <cols>
    <col min="1" max="1" width="16.08984375" customWidth="1"/>
    <col min="2" max="2" width="14.81640625" customWidth="1"/>
  </cols>
  <sheetData>
    <row r="1" spans="1:2" x14ac:dyDescent="0.25">
      <c r="A1" s="1" t="s">
        <v>75</v>
      </c>
      <c r="B1" s="1" t="s">
        <v>76</v>
      </c>
    </row>
    <row r="2" spans="1:2" x14ac:dyDescent="0.25">
      <c r="A2" t="s">
        <v>77</v>
      </c>
      <c r="B2">
        <v>8</v>
      </c>
    </row>
    <row r="3" spans="1:2" x14ac:dyDescent="0.25">
      <c r="A3" t="s">
        <v>78</v>
      </c>
      <c r="B3">
        <v>5</v>
      </c>
    </row>
    <row r="4" spans="1:2" x14ac:dyDescent="0.25">
      <c r="A4" t="s">
        <v>79</v>
      </c>
      <c r="B4">
        <v>4</v>
      </c>
    </row>
    <row r="5" spans="1:2" x14ac:dyDescent="0.25">
      <c r="A5" t="s">
        <v>80</v>
      </c>
      <c r="B5">
        <v>2</v>
      </c>
    </row>
    <row r="6" spans="1:2" x14ac:dyDescent="0.25">
      <c r="A6" t="s">
        <v>81</v>
      </c>
      <c r="B6">
        <v>5</v>
      </c>
    </row>
    <row r="7" spans="1:2" x14ac:dyDescent="0.25">
      <c r="A7" t="s">
        <v>82</v>
      </c>
      <c r="B7">
        <v>3</v>
      </c>
    </row>
    <row r="8" spans="1:2" x14ac:dyDescent="0.25">
      <c r="A8" t="s">
        <v>83</v>
      </c>
      <c r="B8">
        <v>3</v>
      </c>
    </row>
    <row r="9" spans="1:2" x14ac:dyDescent="0.25">
      <c r="A9" t="s">
        <v>84</v>
      </c>
      <c r="B9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R1" sqref="R1"/>
    </sheetView>
  </sheetViews>
  <sheetFormatPr defaultColWidth="9" defaultRowHeight="14" x14ac:dyDescent="0.25"/>
  <cols>
    <col min="1" max="1" width="17.7265625" customWidth="1"/>
    <col min="2" max="2" width="12.1796875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t="s">
        <v>30</v>
      </c>
      <c r="B2">
        <v>930.8</v>
      </c>
    </row>
    <row r="3" spans="1:2" x14ac:dyDescent="0.25">
      <c r="A3" t="s">
        <v>21</v>
      </c>
      <c r="B3">
        <v>1180</v>
      </c>
    </row>
    <row r="4" spans="1:2" x14ac:dyDescent="0.25">
      <c r="A4" t="s">
        <v>27</v>
      </c>
      <c r="B4">
        <v>698.54</v>
      </c>
    </row>
    <row r="5" spans="1:2" x14ac:dyDescent="0.25">
      <c r="A5" t="s">
        <v>22</v>
      </c>
      <c r="B5">
        <v>930</v>
      </c>
    </row>
    <row r="6" spans="1:2" x14ac:dyDescent="0.25">
      <c r="A6" t="s">
        <v>55</v>
      </c>
      <c r="B6">
        <v>867</v>
      </c>
    </row>
    <row r="7" spans="1:2" x14ac:dyDescent="0.25">
      <c r="A7" t="s">
        <v>35</v>
      </c>
      <c r="B7">
        <v>744.03</v>
      </c>
    </row>
    <row r="8" spans="1:2" x14ac:dyDescent="0.25">
      <c r="A8" t="s">
        <v>24</v>
      </c>
      <c r="B8">
        <v>790.15</v>
      </c>
    </row>
    <row r="9" spans="1:2" x14ac:dyDescent="0.25">
      <c r="A9" t="s">
        <v>87</v>
      </c>
      <c r="B9">
        <v>386.65</v>
      </c>
    </row>
    <row r="10" spans="1:2" x14ac:dyDescent="0.25">
      <c r="A10" t="s">
        <v>25</v>
      </c>
      <c r="B10">
        <v>2509.1999999999998</v>
      </c>
    </row>
    <row r="11" spans="1:2" x14ac:dyDescent="0.25">
      <c r="A11" t="s">
        <v>28</v>
      </c>
      <c r="B11">
        <v>2700</v>
      </c>
    </row>
    <row r="12" spans="1:2" x14ac:dyDescent="0.25">
      <c r="A12" t="s">
        <v>37</v>
      </c>
      <c r="B12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40个优化配方</vt:lpstr>
      <vt:lpstr>统计汇总</vt:lpstr>
      <vt:lpstr>分子量信息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</dc:creator>
  <cp:lastModifiedBy>Yayi Zhao</cp:lastModifiedBy>
  <dcterms:created xsi:type="dcterms:W3CDTF">2025-12-04T19:42:00Z</dcterms:created>
  <dcterms:modified xsi:type="dcterms:W3CDTF">2026-01-20T17:00:15Z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C28242728EF446029EEE70E6EE2DA8C3_13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